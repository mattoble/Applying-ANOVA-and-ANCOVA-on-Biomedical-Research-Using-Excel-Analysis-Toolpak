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Matthew\Desktop\"/>
    </mc:Choice>
  </mc:AlternateContent>
  <xr:revisionPtr revIDLastSave="0" documentId="13_ncr:2001_{B1141291-216C-4ECD-8C3A-4E0AD3F90E0E}" xr6:coauthVersionLast="47" xr6:coauthVersionMax="47" xr10:uidLastSave="{00000000-0000-0000-0000-000000000000}"/>
  <bookViews>
    <workbookView xWindow="-108" yWindow="-108" windowWidth="23256" windowHeight="12456" xr2:uid="{FF1EF8D2-5109-4B47-8088-BC8EF8F8E18E}"/>
  </bookViews>
  <sheets>
    <sheet name="ANOVA" sheetId="3" r:id="rId1"/>
    <sheet name="ANCOVA" sheetId="5" r:id="rId2"/>
  </sheets>
  <definedNames>
    <definedName name="ExternalData_1" localSheetId="1" hidden="1">ANCOVA!$A$1:$I$121</definedName>
    <definedName name="ExternalData_1" localSheetId="0" hidden="1">ANOVA!$A$1:$D$49</definedName>
  </definedNames>
  <calcPr calcId="191029"/>
  <pivotCaches>
    <pivotCache cacheId="2" r:id="rId3"/>
    <pivotCache cacheId="3" r:id="rId4"/>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47" i="5" l="1"/>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S464" i="5"/>
  <c r="S465"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U346" i="5"/>
  <c r="T346" i="5"/>
  <c r="S346" i="5"/>
  <c r="V134" i="3" l="1"/>
  <c r="V133" i="3"/>
  <c r="V132" i="3"/>
  <c r="V139" i="3"/>
  <c r="V123" i="3"/>
  <c r="V122" i="3"/>
  <c r="V121" i="3"/>
  <c r="V120" i="3"/>
  <c r="V119" i="3"/>
  <c r="V118" i="3"/>
  <c r="V128" i="3"/>
  <c r="G101" i="3"/>
  <c r="G96" i="3"/>
  <c r="G95" i="3"/>
  <c r="H95" i="3" s="1"/>
  <c r="G94" i="3"/>
  <c r="H94" i="3" l="1"/>
  <c r="H96" i="3"/>
  <c r="W134" i="3"/>
  <c r="W132" i="3"/>
  <c r="W133" i="3"/>
  <c r="W119" i="3"/>
  <c r="W118" i="3"/>
  <c r="W123" i="3"/>
  <c r="W122" i="3"/>
  <c r="W121" i="3"/>
  <c r="W12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E2EF13-A7F0-4650-9BB9-EE478D792B4B}" keepAlive="1" name="Query - Blood Pressure Dataset" description="Connection to the 'Blood Pressure Dataset' query in the workbook." type="5" refreshedVersion="8" background="1" saveData="1">
    <dbPr connection="Provider=Microsoft.Mashup.OleDb.1;Data Source=$Workbook$;Location=&quot;Blood Pressure Dataset&quot;;Extended Properties=&quot;&quot;" command="SELECT * FROM [Blood Pressure Dataset]"/>
  </connection>
  <connection id="2" xr16:uid="{F98AAFFC-A694-4522-80B0-FC2B43D25E76}" keepAlive="1" name="Query - Poison Dataset" description="Connection to the 'Poison Dataset' query in the workbook." type="5" refreshedVersion="8" background="1" saveData="1">
    <dbPr connection="Provider=Microsoft.Mashup.OleDb.1;Data Source=$Workbook$;Location=&quot;Poison Dataset&quot;;Extended Properties=&quot;&quot;" command="SELECT * FROM [Poison Dataset]"/>
  </connection>
</connections>
</file>

<file path=xl/sharedStrings.xml><?xml version="1.0" encoding="utf-8"?>
<sst xmlns="http://schemas.openxmlformats.org/spreadsheetml/2006/main" count="899" uniqueCount="119">
  <si>
    <t>id</t>
  </si>
  <si>
    <t>time</t>
  </si>
  <si>
    <t>poison</t>
  </si>
  <si>
    <t>treat</t>
  </si>
  <si>
    <t>Mean</t>
  </si>
  <si>
    <t>Standard Error</t>
  </si>
  <si>
    <t>Median</t>
  </si>
  <si>
    <t>Mode</t>
  </si>
  <si>
    <t>Standard Deviation</t>
  </si>
  <si>
    <t>Sample Variance</t>
  </si>
  <si>
    <t>Kurtosis</t>
  </si>
  <si>
    <t>Skewness</t>
  </si>
  <si>
    <t>Range</t>
  </si>
  <si>
    <t>Minimum</t>
  </si>
  <si>
    <t>Maximum</t>
  </si>
  <si>
    <t>Sum</t>
  </si>
  <si>
    <t>Count</t>
  </si>
  <si>
    <t>Confidence Level(95.0%)</t>
  </si>
  <si>
    <t>A</t>
  </si>
  <si>
    <t>B</t>
  </si>
  <si>
    <t>C</t>
  </si>
  <si>
    <t>D</t>
  </si>
  <si>
    <t>Grand Total</t>
  </si>
  <si>
    <t>treat (time)</t>
  </si>
  <si>
    <t>poison (time)</t>
  </si>
  <si>
    <t>Average of Time</t>
  </si>
  <si>
    <t>Poison</t>
  </si>
  <si>
    <t>Treatment</t>
  </si>
  <si>
    <t>Anova: Single Factor</t>
  </si>
  <si>
    <t>SUMMARY</t>
  </si>
  <si>
    <t>Groups</t>
  </si>
  <si>
    <t>Average</t>
  </si>
  <si>
    <t>Variance</t>
  </si>
  <si>
    <t>ANOVA</t>
  </si>
  <si>
    <t>Source of Variation</t>
  </si>
  <si>
    <t>SS</t>
  </si>
  <si>
    <t>df</t>
  </si>
  <si>
    <t>MS</t>
  </si>
  <si>
    <t>F</t>
  </si>
  <si>
    <t>P-value</t>
  </si>
  <si>
    <t>F crit</t>
  </si>
  <si>
    <t>Between Groups</t>
  </si>
  <si>
    <t>Within Groups</t>
  </si>
  <si>
    <t>Total</t>
  </si>
  <si>
    <t>Poison 1</t>
  </si>
  <si>
    <t>Poison 2</t>
  </si>
  <si>
    <t>Poison 3</t>
  </si>
  <si>
    <t>Treat</t>
  </si>
  <si>
    <t>Anova: Two-Factor With Replication</t>
  </si>
  <si>
    <t>Sample</t>
  </si>
  <si>
    <t>Columns</t>
  </si>
  <si>
    <t>Interaction</t>
  </si>
  <si>
    <t>Within</t>
  </si>
  <si>
    <t>POST-HOC TEST</t>
  </si>
  <si>
    <t>P-value (T test)</t>
  </si>
  <si>
    <t>Significant?</t>
  </si>
  <si>
    <t>ALPHA</t>
  </si>
  <si>
    <t>Test</t>
  </si>
  <si>
    <t>Alpha</t>
  </si>
  <si>
    <t>POST-HOC TEST (Bonferroni Corrected)</t>
  </si>
  <si>
    <t>A v B</t>
  </si>
  <si>
    <t>B v C</t>
  </si>
  <si>
    <t>C v D</t>
  </si>
  <si>
    <t>A v C</t>
  </si>
  <si>
    <t>A v D</t>
  </si>
  <si>
    <t>B v D</t>
  </si>
  <si>
    <t>1 v 2</t>
  </si>
  <si>
    <t>2 v 3</t>
  </si>
  <si>
    <t>2 v  3</t>
  </si>
  <si>
    <t>1 v  2</t>
  </si>
  <si>
    <t>3 v 1</t>
  </si>
  <si>
    <t>Groups (poison)</t>
  </si>
  <si>
    <t>Groups (treat)</t>
  </si>
  <si>
    <t>Mean Time</t>
  </si>
  <si>
    <t>Column1</t>
  </si>
  <si>
    <t>sex</t>
  </si>
  <si>
    <t>bdate</t>
  </si>
  <si>
    <t>predias</t>
  </si>
  <si>
    <t>presys</t>
  </si>
  <si>
    <t>treatment</t>
  </si>
  <si>
    <t>postdias</t>
  </si>
  <si>
    <t>postsys</t>
  </si>
  <si>
    <t>Male</t>
  </si>
  <si>
    <t>None</t>
  </si>
  <si>
    <t>Female</t>
  </si>
  <si>
    <t>Old Medicine</t>
  </si>
  <si>
    <t>New Medicine</t>
  </si>
  <si>
    <t>Placebo</t>
  </si>
  <si>
    <t>treatment (predias)</t>
  </si>
  <si>
    <t>treatment (presys)</t>
  </si>
  <si>
    <t>treatment (postdias)</t>
  </si>
  <si>
    <t>treatment (postsys)</t>
  </si>
  <si>
    <t>SUMMARY OUTPUT</t>
  </si>
  <si>
    <t>Regression Statistics</t>
  </si>
  <si>
    <t>Multiple R</t>
  </si>
  <si>
    <t>R Square</t>
  </si>
  <si>
    <t>Adjusted R Square</t>
  </si>
  <si>
    <t>Observations</t>
  </si>
  <si>
    <t>Regression</t>
  </si>
  <si>
    <t>Residual</t>
  </si>
  <si>
    <t>Intercept</t>
  </si>
  <si>
    <t>Significance F</t>
  </si>
  <si>
    <t>Coefficients</t>
  </si>
  <si>
    <t>t Stat</t>
  </si>
  <si>
    <t>Lower 95%</t>
  </si>
  <si>
    <t>Upper 95%</t>
  </si>
  <si>
    <t>Lower 95.0%</t>
  </si>
  <si>
    <t>Upper 95.0%</t>
  </si>
  <si>
    <t>RESIDUAL OUTPUT</t>
  </si>
  <si>
    <t>Observation</t>
  </si>
  <si>
    <t>Predicted postdias</t>
  </si>
  <si>
    <t>Residuals</t>
  </si>
  <si>
    <t>Standard Residuals</t>
  </si>
  <si>
    <t>PROBABILITY OUTPUT</t>
  </si>
  <si>
    <t>Percentile</t>
  </si>
  <si>
    <t>Predicted postsys</t>
  </si>
  <si>
    <t>none</t>
  </si>
  <si>
    <t>new</t>
  </si>
  <si>
    <t xml:space="preserve">old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</si>
</sst>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i/>
      <sz val="11"/>
      <color theme="1"/>
      <name val="Aptos Narrow"/>
      <family val="2"/>
      <scheme val="minor"/>
    </font>
    <font>
      <sz val="11"/>
      <name val="Aptos Narrow"/>
      <family val="2"/>
      <scheme val="minor"/>
    </font>
    <font>
      <b/>
      <i/>
      <sz val="11"/>
      <color theme="1"/>
      <name val="Aptos Narrow"/>
      <family val="2"/>
      <scheme val="minor"/>
    </font>
    <font>
      <i/>
      <sz val="10"/>
      <color theme="1"/>
      <name val="Aptos Narrow"/>
      <family val="2"/>
      <scheme val="minor"/>
    </font>
    <font>
      <b/>
      <sz val="11"/>
      <name val="Aptos Narrow"/>
      <family val="2"/>
      <scheme val="minor"/>
    </font>
  </fonts>
  <fills count="2">
    <fill>
      <patternFill patternType="none"/>
    </fill>
    <fill>
      <patternFill patternType="gray125"/>
    </fill>
  </fills>
  <borders count="20">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theme="0" tint="-0.14999847407452621"/>
      </top>
      <bottom style="thin">
        <color theme="0" tint="-0.14999847407452621"/>
      </bottom>
      <diagonal/>
    </border>
    <border>
      <left/>
      <right/>
      <top style="thin">
        <color theme="1" tint="0.499984740745262"/>
      </top>
      <bottom style="thin">
        <color theme="0" tint="-0.14999847407452621"/>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diagonal/>
    </border>
    <border>
      <left/>
      <right/>
      <top/>
      <bottom style="medium">
        <color indexed="18"/>
      </bottom>
      <diagonal/>
    </border>
    <border>
      <left/>
      <right/>
      <top style="thin">
        <color indexed="64"/>
      </top>
      <bottom style="thin">
        <color indexed="64"/>
      </bottom>
      <diagonal/>
    </border>
    <border>
      <left/>
      <right/>
      <top style="thin">
        <color indexed="64"/>
      </top>
      <bottom/>
      <diagonal/>
    </border>
    <border>
      <left/>
      <right/>
      <top style="thin">
        <color indexed="64"/>
      </top>
      <bottom style="thin">
        <color theme="1" tint="0.499984740745262"/>
      </bottom>
      <diagonal/>
    </border>
    <border>
      <left/>
      <right/>
      <top style="thin">
        <color theme="0" tint="-0.14999847407452621"/>
      </top>
      <bottom style="thin">
        <color indexed="64"/>
      </bottom>
      <diagonal/>
    </border>
    <border>
      <left/>
      <right/>
      <top style="thin">
        <color indexed="64"/>
      </top>
      <bottom style="thin">
        <color theme="0" tint="-0.14999847407452621"/>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s>
  <cellStyleXfs count="1">
    <xf numFmtId="0" fontId="0" fillId="0" borderId="0"/>
  </cellStyleXfs>
  <cellXfs count="74">
    <xf numFmtId="0" fontId="0" fillId="0" borderId="0" xfId="0"/>
    <xf numFmtId="0" fontId="0" fillId="0" borderId="3" xfId="0" applyBorder="1" applyAlignment="1">
      <alignment horizontal="center" vertical="center"/>
    </xf>
    <xf numFmtId="0" fontId="3" fillId="0" borderId="3" xfId="0" applyFont="1" applyBorder="1" applyAlignment="1">
      <alignment horizontal="center" vertical="center"/>
    </xf>
    <xf numFmtId="0" fontId="1" fillId="0" borderId="3" xfId="0" applyFont="1" applyBorder="1" applyAlignment="1">
      <alignment horizontal="center"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Border="1" applyAlignment="1">
      <alignment horizontal="center" vertical="center"/>
    </xf>
    <xf numFmtId="0" fontId="4" fillId="0" borderId="10" xfId="0" applyFont="1" applyBorder="1" applyAlignment="1">
      <alignment horizontal="center" vertical="center"/>
    </xf>
    <xf numFmtId="0" fontId="1" fillId="0" borderId="10" xfId="0" applyFont="1" applyBorder="1" applyAlignment="1">
      <alignment horizontal="center" vertical="center"/>
    </xf>
    <xf numFmtId="0" fontId="0" fillId="0" borderId="4"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4" fillId="0" borderId="12" xfId="0" applyFont="1" applyBorder="1" applyAlignment="1">
      <alignment horizontal="center" vertical="center"/>
    </xf>
    <xf numFmtId="0" fontId="1" fillId="0" borderId="12" xfId="0" applyFont="1" applyBorder="1" applyAlignment="1">
      <alignment horizontal="center" vertical="center"/>
    </xf>
    <xf numFmtId="0" fontId="0" fillId="0" borderId="5" xfId="0" applyBorder="1" applyAlignment="1">
      <alignment horizontal="center" vertical="center"/>
    </xf>
    <xf numFmtId="2" fontId="0" fillId="0" borderId="4" xfId="0" applyNumberFormat="1" applyBorder="1" applyAlignment="1">
      <alignment horizontal="center" vertical="center"/>
    </xf>
    <xf numFmtId="2" fontId="0" fillId="0" borderId="13" xfId="0" applyNumberFormat="1" applyBorder="1" applyAlignment="1">
      <alignment horizontal="center" vertical="center"/>
    </xf>
    <xf numFmtId="2" fontId="0" fillId="0" borderId="14" xfId="0" applyNumberFormat="1" applyBorder="1" applyAlignment="1">
      <alignment horizontal="center" vertical="center"/>
    </xf>
    <xf numFmtId="2" fontId="0" fillId="0" borderId="5" xfId="0" applyNumberFormat="1" applyBorder="1" applyAlignment="1">
      <alignment horizontal="center" vertical="center"/>
    </xf>
    <xf numFmtId="0" fontId="6" fillId="0" borderId="3" xfId="0" applyFont="1" applyBorder="1" applyAlignment="1">
      <alignment horizontal="center" vertical="center"/>
    </xf>
    <xf numFmtId="2" fontId="0" fillId="0" borderId="3" xfId="0" applyNumberFormat="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0" xfId="0" applyAlignment="1">
      <alignment vertical="center"/>
    </xf>
    <xf numFmtId="14" fontId="0" fillId="0" borderId="0" xfId="0" applyNumberFormat="1" applyAlignment="1">
      <alignment vertical="center"/>
    </xf>
    <xf numFmtId="0" fontId="0" fillId="0" borderId="1" xfId="0" applyBorder="1" applyAlignment="1">
      <alignment vertical="center"/>
    </xf>
    <xf numFmtId="0" fontId="2" fillId="0" borderId="10" xfId="0" pivotButton="1" applyFont="1" applyBorder="1" applyAlignment="1">
      <alignment vertical="center"/>
    </xf>
    <xf numFmtId="0" fontId="0" fillId="0" borderId="10" xfId="0" applyBorder="1" applyAlignment="1">
      <alignment vertical="center"/>
    </xf>
    <xf numFmtId="0" fontId="0" fillId="0" borderId="0" xfId="0" applyAlignment="1">
      <alignment horizontal="left" vertical="center"/>
    </xf>
    <xf numFmtId="0" fontId="2" fillId="0" borderId="11" xfId="0" applyFont="1" applyBorder="1" applyAlignment="1">
      <alignment vertical="center"/>
    </xf>
    <xf numFmtId="0" fontId="0" fillId="0" borderId="11" xfId="0" applyBorder="1" applyAlignment="1">
      <alignment vertical="center"/>
    </xf>
    <xf numFmtId="0" fontId="0" fillId="0" borderId="7" xfId="0" applyBorder="1" applyAlignment="1">
      <alignment horizontal="left" vertical="center"/>
    </xf>
    <xf numFmtId="0" fontId="0" fillId="0" borderId="7" xfId="0" applyBorder="1" applyAlignment="1">
      <alignment vertical="center"/>
    </xf>
    <xf numFmtId="0" fontId="2" fillId="0" borderId="10" xfId="0" applyFont="1" applyBorder="1" applyAlignment="1">
      <alignment vertical="center"/>
    </xf>
    <xf numFmtId="0" fontId="0" fillId="0" borderId="10" xfId="0" applyBorder="1" applyAlignment="1">
      <alignment horizontal="left" vertical="center"/>
    </xf>
    <xf numFmtId="0" fontId="2" fillId="0" borderId="2" xfId="0" applyFont="1" applyBorder="1" applyAlignment="1">
      <alignment horizontal="centerContinuous" vertical="center"/>
    </xf>
    <xf numFmtId="11" fontId="0" fillId="0" borderId="0" xfId="0" applyNumberFormat="1" applyAlignment="1">
      <alignment vertical="center"/>
    </xf>
    <xf numFmtId="11" fontId="0" fillId="0" borderId="1" xfId="0" applyNumberFormat="1" applyBorder="1" applyAlignment="1">
      <alignment vertical="center"/>
    </xf>
    <xf numFmtId="0" fontId="2" fillId="0" borderId="2" xfId="0" applyFont="1" applyBorder="1" applyAlignment="1">
      <alignment horizontal="center" vertical="center"/>
    </xf>
    <xf numFmtId="0" fontId="0" fillId="0" borderId="0" xfId="0" applyFill="1"/>
    <xf numFmtId="0" fontId="2" fillId="0" borderId="2" xfId="0" applyFont="1" applyFill="1" applyBorder="1" applyAlignment="1">
      <alignment horizontal="center"/>
    </xf>
    <xf numFmtId="0" fontId="2" fillId="0" borderId="2" xfId="0" applyFont="1" applyFill="1" applyBorder="1" applyAlignment="1">
      <alignment horizontal="center"/>
    </xf>
    <xf numFmtId="0" fontId="2" fillId="0" borderId="2" xfId="0" applyFont="1" applyFill="1" applyBorder="1"/>
    <xf numFmtId="0" fontId="0" fillId="0" borderId="2" xfId="0" applyFill="1" applyBorder="1"/>
    <xf numFmtId="0" fontId="2" fillId="0" borderId="0" xfId="0" applyFont="1" applyFill="1"/>
    <xf numFmtId="0" fontId="0" fillId="0" borderId="0" xfId="0" applyFill="1" applyAlignment="1">
      <alignment horizontal="left"/>
    </xf>
    <xf numFmtId="0" fontId="0" fillId="0" borderId="1" xfId="0" applyFill="1" applyBorder="1"/>
    <xf numFmtId="0" fontId="0" fillId="0" borderId="3" xfId="0" applyFill="1" applyBorder="1" applyAlignment="1">
      <alignment horizontal="center" vertical="center"/>
    </xf>
    <xf numFmtId="0" fontId="1" fillId="0" borderId="7" xfId="0" applyFont="1" applyFill="1" applyBorder="1" applyAlignment="1">
      <alignment horizontal="center"/>
    </xf>
    <xf numFmtId="0" fontId="1" fillId="0" borderId="0" xfId="0" applyFont="1" applyFill="1"/>
    <xf numFmtId="0" fontId="1" fillId="0" borderId="6" xfId="0" applyFont="1" applyFill="1" applyBorder="1" applyAlignment="1">
      <alignment horizontal="center" vertical="center"/>
    </xf>
    <xf numFmtId="0" fontId="1" fillId="0" borderId="8" xfId="0" applyFont="1" applyFill="1" applyBorder="1" applyAlignment="1">
      <alignment horizontal="right" vertical="center" textRotation="90"/>
    </xf>
    <xf numFmtId="0" fontId="5" fillId="0" borderId="9" xfId="0" applyFont="1" applyFill="1" applyBorder="1" applyAlignment="1">
      <alignment horizontal="right"/>
    </xf>
    <xf numFmtId="0" fontId="2" fillId="0" borderId="2" xfId="0" applyFont="1" applyFill="1" applyBorder="1" applyAlignment="1">
      <alignment horizontal="center" vertical="center"/>
    </xf>
    <xf numFmtId="0" fontId="0" fillId="0" borderId="0" xfId="0" applyFill="1" applyAlignment="1">
      <alignment horizontal="center" vertical="center"/>
    </xf>
    <xf numFmtId="0" fontId="0" fillId="0" borderId="0" xfId="0" applyFill="1" applyAlignment="1">
      <alignment horizontal="right"/>
    </xf>
    <xf numFmtId="0" fontId="0" fillId="0" borderId="1" xfId="0" applyFill="1" applyBorder="1" applyAlignment="1">
      <alignment horizontal="center" vertical="center"/>
    </xf>
    <xf numFmtId="0" fontId="0" fillId="0" borderId="1" xfId="0" applyFill="1" applyBorder="1" applyAlignment="1">
      <alignment horizontal="right"/>
    </xf>
    <xf numFmtId="11" fontId="0" fillId="0" borderId="0" xfId="0" applyNumberFormat="1" applyFill="1"/>
    <xf numFmtId="0" fontId="0" fillId="0" borderId="0" xfId="0" applyFill="1" applyAlignment="1">
      <alignment horizontal="center"/>
    </xf>
    <xf numFmtId="0" fontId="0" fillId="0" borderId="1" xfId="0" applyFill="1" applyBorder="1" applyAlignment="1">
      <alignment horizontal="center"/>
    </xf>
    <xf numFmtId="0" fontId="0" fillId="0" borderId="15" xfId="0" applyFill="1" applyBorder="1"/>
    <xf numFmtId="0" fontId="1" fillId="0" borderId="17" xfId="0" applyFont="1" applyFill="1" applyBorder="1" applyAlignment="1">
      <alignment horizontal="center" vertical="center"/>
    </xf>
    <xf numFmtId="0" fontId="1" fillId="0" borderId="18" xfId="0" applyFont="1" applyFill="1" applyBorder="1" applyAlignment="1">
      <alignment horizontal="center" vertical="center"/>
    </xf>
    <xf numFmtId="0" fontId="1" fillId="0" borderId="6"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19" xfId="0" applyFont="1" applyFill="1" applyBorder="1" applyAlignment="1">
      <alignment horizontal="center" vertical="center"/>
    </xf>
    <xf numFmtId="0" fontId="0" fillId="0" borderId="19" xfId="0" applyFont="1" applyFill="1" applyBorder="1" applyAlignment="1">
      <alignment horizontal="center" vertical="center"/>
    </xf>
    <xf numFmtId="0" fontId="3" fillId="0" borderId="19" xfId="0" applyFont="1" applyFill="1" applyBorder="1" applyAlignment="1">
      <alignment horizontal="center" vertical="center"/>
    </xf>
    <xf numFmtId="0" fontId="0" fillId="0" borderId="17" xfId="0" applyFont="1" applyFill="1" applyBorder="1" applyAlignment="1">
      <alignment horizontal="center" vertical="center"/>
    </xf>
    <xf numFmtId="0" fontId="0" fillId="0" borderId="16" xfId="0" applyFont="1" applyFill="1" applyBorder="1" applyAlignment="1">
      <alignment horizontal="center" vertical="center"/>
    </xf>
    <xf numFmtId="0" fontId="3" fillId="0" borderId="16" xfId="0" applyFont="1" applyFill="1" applyBorder="1" applyAlignment="1">
      <alignment horizontal="center" vertical="center"/>
    </xf>
    <xf numFmtId="0" fontId="0" fillId="0" borderId="3" xfId="0" applyFont="1" applyFill="1" applyBorder="1" applyAlignment="1">
      <alignment horizontal="center" vertical="center"/>
    </xf>
  </cellXfs>
  <cellStyles count="1">
    <cellStyle name="Normal" xfId="0" builtinId="0"/>
  </cellStyles>
  <dxfs count="132">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textRotation="0" wrapText="0" indent="0" justifyLastLine="0" shrinkToFit="0" readingOrder="0"/>
    </dxf>
    <dxf>
      <alignment vertical="center" textRotation="0" wrapText="0" indent="0" justifyLastLine="0" shrinkToFit="0" readingOrder="0"/>
    </dxf>
    <dxf>
      <numFmt numFmtId="0" formatCode="General"/>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19" formatCode="dd/mm/yyyy"/>
      <alignment vertical="center" textRotation="0" wrapText="0" indent="0" justifyLastLine="0" shrinkToFit="0" readingOrder="0"/>
    </dxf>
    <dxf>
      <numFmt numFmtId="0" formatCode="General"/>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dxf>
    <dxf>
      <alignment vertical="center"/>
    </dxf>
    <dxf>
      <alignment vertical="center"/>
    </dxf>
    <dxf>
      <alignment vertical="center"/>
    </dxf>
    <dxf>
      <alignment vertical="center"/>
    </dxf>
    <dxf>
      <alignment vertical="center"/>
    </dxf>
    <dxf>
      <alignment horizontal="center"/>
    </dxf>
    <dxf>
      <alignment horizontal="center"/>
    </dxf>
    <dxf>
      <border>
        <top style="thin">
          <color indexed="64"/>
        </top>
      </border>
    </dxf>
    <dxf>
      <border>
        <top style="thin">
          <color indexed="64"/>
        </top>
      </border>
    </dxf>
    <dxf>
      <border>
        <top style="medium">
          <color auto="1"/>
        </top>
        <bottom style="thin">
          <color auto="1"/>
        </bottom>
        <horizontal/>
      </border>
    </dxf>
    <dxf>
      <border>
        <top style="medium">
          <color auto="1"/>
        </top>
        <bottom style="thin">
          <color auto="1"/>
        </bottom>
        <horizontal/>
      </border>
    </dxf>
    <dxf>
      <border>
        <top style="medium">
          <color auto="1"/>
        </top>
        <bottom style="thin">
          <color auto="1"/>
        </bottom>
        <horizontal/>
      </border>
    </dxf>
    <dxf>
      <border>
        <top style="medium">
          <color auto="1"/>
        </top>
        <bottom style="thin">
          <color auto="1"/>
        </bottom>
        <horizontal/>
      </border>
    </dxf>
    <dxf>
      <border>
        <top style="medium">
          <color auto="1"/>
        </top>
        <bottom style="thin">
          <color auto="1"/>
        </bottom>
        <horizontal/>
      </border>
    </dxf>
    <dxf>
      <border>
        <top style="medium">
          <color auto="1"/>
        </top>
        <bottom style="thin">
          <color auto="1"/>
        </bottom>
        <horizontal/>
      </bord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i/>
      </font>
    </dxf>
    <dxf>
      <border>
        <top style="medium">
          <color auto="1"/>
        </top>
        <bottom style="thin">
          <color auto="1"/>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border>
        <top style="thin">
          <color indexed="64"/>
        </top>
      </border>
    </dxf>
    <dxf>
      <border>
        <top style="thin">
          <color indexed="64"/>
        </top>
      </border>
    </dxf>
    <dxf>
      <border>
        <top style="medium">
          <color auto="1"/>
        </top>
        <bottom style="thin">
          <color auto="1"/>
        </bottom>
      </border>
    </dxf>
    <dxf>
      <border>
        <top style="medium">
          <color auto="1"/>
        </top>
        <bottom style="thin">
          <color auto="1"/>
        </bottom>
      </border>
    </dxf>
    <dxf>
      <font>
        <i/>
      </font>
    </dxf>
    <dxf>
      <border>
        <top style="medium">
          <color auto="1"/>
        </top>
        <bottom style="thin">
          <color auto="1"/>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border>
        <top style="thin">
          <color indexed="64"/>
        </top>
      </border>
    </dxf>
    <dxf>
      <border>
        <top style="thin">
          <color indexed="64"/>
        </top>
      </border>
    </dxf>
    <dxf>
      <font>
        <i/>
      </font>
    </dxf>
    <dxf>
      <border>
        <top style="medium">
          <color auto="1"/>
        </top>
        <bottom style="thin">
          <color auto="1"/>
        </bottom>
      </border>
    </dxf>
    <dxf>
      <border>
        <top style="medium">
          <color auto="1"/>
        </top>
        <bottom style="thin">
          <color auto="1"/>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border>
        <top style="thin">
          <color indexed="64"/>
        </top>
      </border>
    </dxf>
    <dxf>
      <border>
        <top style="thin">
          <color indexed="64"/>
        </top>
      </border>
    </dxf>
    <dxf>
      <border>
        <bottom style="thin">
          <color indexed="64"/>
        </bottom>
      </border>
    </dxf>
    <dxf>
      <border>
        <bottom style="thin">
          <color indexed="64"/>
        </bottom>
      </border>
    </dxf>
    <dxf>
      <border>
        <top style="thin">
          <color indexed="64"/>
        </top>
      </border>
    </dxf>
    <dxf>
      <border>
        <top style="thin">
          <color indexed="64"/>
        </top>
      </border>
    </dxf>
    <dxf>
      <border>
        <top style="medium">
          <color auto="1"/>
        </top>
        <bottom style="thin">
          <color auto="1"/>
        </bottom>
        <horizontal/>
      </border>
    </dxf>
    <dxf>
      <border>
        <top style="medium">
          <color auto="1"/>
        </top>
        <bottom style="thin">
          <color auto="1"/>
        </bottom>
        <horizontal/>
      </border>
    </dxf>
    <dxf>
      <border>
        <top style="medium">
          <color auto="1"/>
        </top>
        <bottom style="thin">
          <color auto="1"/>
        </bottom>
        <horizontal/>
      </border>
    </dxf>
    <dxf>
      <border>
        <top style="medium">
          <color auto="1"/>
        </top>
        <bottom style="thin">
          <color auto="1"/>
        </bottom>
        <horizontal/>
      </border>
    </dxf>
    <dxf>
      <border>
        <top style="medium">
          <color auto="1"/>
        </top>
        <bottom style="thin">
          <color auto="1"/>
        </bottom>
        <horizontal/>
      </bord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i/>
      </font>
    </dxf>
    <dxf>
      <border>
        <top style="medium">
          <color auto="1"/>
        </top>
        <bottom style="thin">
          <color auto="1"/>
        </bottom>
      </border>
    </dxf>
    <dxf>
      <numFmt numFmtId="0" formatCode="General"/>
    </dxf>
    <dxf>
      <font>
        <i/>
      </font>
    </dxf>
    <dxf>
      <font>
        <b val="0"/>
      </font>
    </dxf>
    <dxf>
      <font>
        <i/>
      </font>
    </dxf>
    <dxf>
      <border>
        <top style="medium">
          <color auto="1"/>
        </top>
        <bottom style="thin">
          <color auto="1"/>
        </bottom>
      </border>
    </dxf>
    <dxf>
      <border>
        <top style="medium">
          <color auto="1"/>
        </top>
        <bottom style="thin">
          <color auto="1"/>
        </bottom>
      </border>
    </dxf>
    <dxf>
      <font>
        <i/>
      </font>
    </dxf>
    <dxf>
      <border>
        <top style="medium">
          <color auto="1"/>
        </top>
        <bottom style="thin">
          <color auto="1"/>
        </bottom>
      </border>
    </dxf>
    <dxf>
      <border>
        <top style="medium">
          <color auto="1"/>
        </top>
        <bottom style="thin">
          <color auto="1"/>
        </bottom>
      </border>
    </dxf>
    <dxf>
      <font>
        <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[ANOVA-ANCOVA(AutoRecovered).xlsx]ANOVA!treatment and poison group means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Group Means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ANOVA!$G$22:$G$23</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ANOVA!$F$24:$F$28</c:f>
              <c:strCache>
                <c:ptCount val="4"/>
                <c:pt idx="0">
                  <c:v>A</c:v>
                </c:pt>
                <c:pt idx="1">
                  <c:v>B</c:v>
                </c:pt>
                <c:pt idx="2">
                  <c:v>C</c:v>
                </c:pt>
                <c:pt idx="3">
                  <c:v>D</c:v>
                </c:pt>
              </c:strCache>
            </c:strRef>
          </c:cat>
          <c:val>
            <c:numRef>
              <c:f>ANOVA!$G$24:$G$28</c:f>
              <c:numCache>
                <c:formatCode>General</c:formatCode>
                <c:ptCount val="4"/>
                <c:pt idx="0">
                  <c:v>0.41249999999999998</c:v>
                </c:pt>
                <c:pt idx="1">
                  <c:v>0.87999999999999989</c:v>
                </c:pt>
                <c:pt idx="2">
                  <c:v>0.5675</c:v>
                </c:pt>
                <c:pt idx="3">
                  <c:v>0.61</c:v>
                </c:pt>
              </c:numCache>
            </c:numRef>
          </c:val>
          <c:extLst>
            <c:ext xmlns:c16="http://schemas.microsoft.com/office/drawing/2014/chart" uri="{C3380CC4-5D6E-409C-BE32-E72D297353CC}">
              <c16:uniqueId val="{00000000-70EC-4651-A170-2C5E02FD05FD}"/>
            </c:ext>
          </c:extLst>
        </c:ser>
        <c:ser>
          <c:idx val="1"/>
          <c:order val="1"/>
          <c:tx>
            <c:strRef>
              <c:f>ANOVA!$H$22:$H$23</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ANOVA!$F$24:$F$28</c:f>
              <c:strCache>
                <c:ptCount val="4"/>
                <c:pt idx="0">
                  <c:v>A</c:v>
                </c:pt>
                <c:pt idx="1">
                  <c:v>B</c:v>
                </c:pt>
                <c:pt idx="2">
                  <c:v>C</c:v>
                </c:pt>
                <c:pt idx="3">
                  <c:v>D</c:v>
                </c:pt>
              </c:strCache>
            </c:strRef>
          </c:cat>
          <c:val>
            <c:numRef>
              <c:f>ANOVA!$H$24:$H$28</c:f>
              <c:numCache>
                <c:formatCode>General</c:formatCode>
                <c:ptCount val="4"/>
                <c:pt idx="0">
                  <c:v>0.31999999999999995</c:v>
                </c:pt>
                <c:pt idx="1">
                  <c:v>0.81499999999999995</c:v>
                </c:pt>
                <c:pt idx="2">
                  <c:v>0.375</c:v>
                </c:pt>
                <c:pt idx="3">
                  <c:v>0.66749999999999998</c:v>
                </c:pt>
              </c:numCache>
            </c:numRef>
          </c:val>
          <c:extLst>
            <c:ext xmlns:c16="http://schemas.microsoft.com/office/drawing/2014/chart" uri="{C3380CC4-5D6E-409C-BE32-E72D297353CC}">
              <c16:uniqueId val="{00000001-70EC-4651-A170-2C5E02FD05FD}"/>
            </c:ext>
          </c:extLst>
        </c:ser>
        <c:ser>
          <c:idx val="2"/>
          <c:order val="2"/>
          <c:tx>
            <c:strRef>
              <c:f>ANOVA!$I$22:$I$23</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ANOVA!$F$24:$F$28</c:f>
              <c:strCache>
                <c:ptCount val="4"/>
                <c:pt idx="0">
                  <c:v>A</c:v>
                </c:pt>
                <c:pt idx="1">
                  <c:v>B</c:v>
                </c:pt>
                <c:pt idx="2">
                  <c:v>C</c:v>
                </c:pt>
                <c:pt idx="3">
                  <c:v>D</c:v>
                </c:pt>
              </c:strCache>
            </c:strRef>
          </c:cat>
          <c:val>
            <c:numRef>
              <c:f>ANOVA!$I$24:$I$28</c:f>
              <c:numCache>
                <c:formatCode>General</c:formatCode>
                <c:ptCount val="4"/>
                <c:pt idx="0">
                  <c:v>0.21</c:v>
                </c:pt>
                <c:pt idx="1">
                  <c:v>0.33499999999999996</c:v>
                </c:pt>
                <c:pt idx="2">
                  <c:v>0.23499999999999999</c:v>
                </c:pt>
                <c:pt idx="3">
                  <c:v>0.32500000000000001</c:v>
                </c:pt>
              </c:numCache>
            </c:numRef>
          </c:val>
          <c:extLst>
            <c:ext xmlns:c16="http://schemas.microsoft.com/office/drawing/2014/chart" uri="{C3380CC4-5D6E-409C-BE32-E72D297353CC}">
              <c16:uniqueId val="{00000002-70EC-4651-A170-2C5E02FD05FD}"/>
            </c:ext>
          </c:extLst>
        </c:ser>
        <c:dLbls>
          <c:dLblPos val="outEnd"/>
          <c:showLegendKey val="0"/>
          <c:showVal val="1"/>
          <c:showCatName val="0"/>
          <c:showSerName val="0"/>
          <c:showPercent val="0"/>
          <c:showBubbleSize val="0"/>
        </c:dLbls>
        <c:gapWidth val="219"/>
        <c:overlap val="-27"/>
        <c:axId val="732815343"/>
        <c:axId val="732815823"/>
      </c:barChart>
      <c:catAx>
        <c:axId val="7328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15823"/>
        <c:crosses val="autoZero"/>
        <c:auto val="1"/>
        <c:lblAlgn val="ctr"/>
        <c:lblOffset val="100"/>
        <c:noMultiLvlLbl val="0"/>
      </c:catAx>
      <c:valAx>
        <c:axId val="732815823"/>
        <c:scaling>
          <c:orientation val="minMax"/>
        </c:scaling>
        <c:delete val="1"/>
        <c:axPos val="l"/>
        <c:numFmt formatCode="General" sourceLinked="1"/>
        <c:majorTickMark val="out"/>
        <c:minorTickMark val="none"/>
        <c:tickLblPos val="nextTo"/>
        <c:crossAx val="73281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[ANOVA-ANCOVA(AutoRecovered).xlsx]ANOVA!PivotTable1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Treat/Treatment Means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ANOVA!$S$5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ANOVA!$R$6:$R$10</c:f>
              <c:strCache>
                <c:ptCount val="4"/>
                <c:pt idx="0">
                  <c:v>A</c:v>
                </c:pt>
                <c:pt idx="1">
                  <c:v>B</c:v>
                </c:pt>
                <c:pt idx="2">
                  <c:v>C</c:v>
                </c:pt>
                <c:pt idx="3">
                  <c:v>D</c:v>
                </c:pt>
              </c:strCache>
            </c:strRef>
          </c:cat>
          <c:val>
            <c:numRef>
              <c:f>ANOVA!$S$6:$S$10</c:f>
              <c:numCache>
                <c:formatCode>General</c:formatCode>
                <c:ptCount val="4"/>
                <c:pt idx="0">
                  <c:v>0.31416666666666665</c:v>
                </c:pt>
                <c:pt idx="1">
                  <c:v>0.67666666666666664</c:v>
                </c:pt>
                <c:pt idx="2">
                  <c:v>0.39250000000000002</c:v>
                </c:pt>
                <c:pt idx="3">
                  <c:v>0.53416666666666657</c:v>
                </c:pt>
              </c:numCache>
            </c:numRef>
          </c:val>
          <c:extLst>
            <c:ext xmlns:c16="http://schemas.microsoft.com/office/drawing/2014/chart" uri="{C3380CC4-5D6E-409C-BE32-E72D297353CC}">
              <c16:uniqueId val="{00000000-B997-4E2A-9531-F4E887343B91}"/>
            </c:ext>
          </c:extLst>
        </c:ser>
        <c:dLbls>
          <c:dLblPos val="outEnd"/>
          <c:showLegendKey val="0"/>
          <c:showVal val="1"/>
          <c:showCatName val="0"/>
          <c:showSerName val="0"/>
          <c:showPercent val="0"/>
          <c:showBubbleSize val="0"/>
        </c:dLbls>
        <c:gapWidth val="219"/>
        <c:overlap val="-27"/>
        <c:axId val="167641423"/>
        <c:axId val="167642863"/>
      </c:barChart>
      <c:catAx>
        <c:axId val="16764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42863"/>
        <c:crosses val="autoZero"/>
        <c:auto val="1"/>
        <c:lblAlgn val="ctr"/>
        <c:lblOffset val="100"/>
        <c:noMultiLvlLbl val="0"/>
      </c:catAx>
      <c:valAx>
        <c:axId val="167642863"/>
        <c:scaling>
          <c:orientation val="minMax"/>
        </c:scaling>
        <c:delete val="1"/>
        <c:axPos val="l"/>
        <c:numFmt formatCode="General" sourceLinked="1"/>
        <c:majorTickMark val="none"/>
        <c:minorTickMark val="none"/>
        <c:tickLblPos val="nextTo"/>
        <c:crossAx val="16764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[ANOVA-ANCOVA(AutoRecovered).xlsx]ANOVA!PivotTable2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Poison Means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ANOVA!$S$22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ANOVA!$R$23:$R$26</c:f>
              <c:strCache>
                <c:ptCount val="3"/>
                <c:pt idx="0">
                  <c:v>1</c:v>
                </c:pt>
                <c:pt idx="1">
                  <c:v>2</c:v>
                </c:pt>
                <c:pt idx="2">
                  <c:v>3</c:v>
                </c:pt>
              </c:strCache>
            </c:strRef>
          </c:cat>
          <c:val>
            <c:numRef>
              <c:f>ANOVA!$S$23:$S$26</c:f>
              <c:numCache>
                <c:formatCode>General</c:formatCode>
                <c:ptCount val="3"/>
                <c:pt idx="0">
                  <c:v>0.61749999999999994</c:v>
                </c:pt>
                <c:pt idx="1">
                  <c:v>0.54437499999999994</c:v>
                </c:pt>
                <c:pt idx="2">
                  <c:v>0.27624999999999994</c:v>
                </c:pt>
              </c:numCache>
            </c:numRef>
          </c:val>
          <c:extLst>
            <c:ext xmlns:c16="http://schemas.microsoft.com/office/drawing/2014/chart" uri="{C3380CC4-5D6E-409C-BE32-E72D297353CC}">
              <c16:uniqueId val="{00000000-E675-44E4-8039-EAC785AFFDDE}"/>
            </c:ext>
          </c:extLst>
        </c:ser>
        <c:dLbls>
          <c:dLblPos val="outEnd"/>
          <c:showLegendKey val="0"/>
          <c:showVal val="1"/>
          <c:showCatName val="0"/>
          <c:showSerName val="0"/>
          <c:showPercent val="0"/>
          <c:showBubbleSize val="0"/>
        </c:dLbls>
        <c:gapWidth val="219"/>
        <c:overlap val="-27"/>
        <c:axId val="1497104320"/>
        <c:axId val="1497101440"/>
      </c:barChart>
      <c:catAx>
        <c:axId val="14971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101440"/>
        <c:crosses val="autoZero"/>
        <c:auto val="1"/>
        <c:lblAlgn val="ctr"/>
        <c:lblOffset val="100"/>
        <c:noMultiLvlLbl val="0"/>
      </c:catAx>
      <c:valAx>
        <c:axId val="149710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10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Treament</a:t>
            </a:r>
            <a:r>
              <a:rPr lang="en-US" baseline="0"/>
              <a:t> (predias) Means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ANCOVA!$U$20</c:f>
              <c:strCache>
                <c:ptCount val="1"/>
                <c:pt idx="0">
                  <c:v>Mean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ANCOVA!$T$21:$T$24</c:f>
              <c:strCache>
                <c:ptCount val="4"/>
                <c:pt idx="0">
                  <c:v>New Medicine</c:v>
                </c:pt>
                <c:pt idx="1">
                  <c:v>None</c:v>
                </c:pt>
                <c:pt idx="2">
                  <c:v>Old Medicine</c:v>
                </c:pt>
                <c:pt idx="3">
                  <c:v>Placebo</c:v>
                </c:pt>
              </c:strCache>
            </c:strRef>
          </c:cat>
          <c:val>
            <c:numRef>
              <c:f>ANCOVA!$U$21:$U$24</c:f>
              <c:numCache>
                <c:formatCode>0.00</c:formatCode>
                <c:ptCount val="4"/>
                <c:pt idx="0">
                  <c:v>102.125</c:v>
                </c:pt>
                <c:pt idx="1">
                  <c:v>99.433333333333337</c:v>
                </c:pt>
                <c:pt idx="2">
                  <c:v>101.175</c:v>
                </c:pt>
                <c:pt idx="3">
                  <c:v>100.825</c:v>
                </c:pt>
              </c:numCache>
            </c:numRef>
          </c:val>
          <c:extLst>
            <c:ext xmlns:c16="http://schemas.microsoft.com/office/drawing/2014/chart" uri="{C3380CC4-5D6E-409C-BE32-E72D297353CC}">
              <c16:uniqueId val="{00000000-025B-4C31-B9EE-EA4D724BC145}"/>
            </c:ext>
          </c:extLst>
        </c:ser>
        <c:dLbls>
          <c:dLblPos val="outEnd"/>
          <c:showLegendKey val="0"/>
          <c:showVal val="1"/>
          <c:showCatName val="0"/>
          <c:showSerName val="0"/>
          <c:showPercent val="0"/>
          <c:showBubbleSize val="0"/>
        </c:dLbls>
        <c:gapWidth val="182"/>
        <c:axId val="1748017631"/>
        <c:axId val="1748020031"/>
      </c:barChart>
      <c:catAx>
        <c:axId val="174801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20031"/>
        <c:crosses val="autoZero"/>
        <c:auto val="1"/>
        <c:lblAlgn val="ctr"/>
        <c:lblOffset val="100"/>
        <c:noMultiLvlLbl val="0"/>
      </c:catAx>
      <c:valAx>
        <c:axId val="1748020031"/>
        <c:scaling>
          <c:orientation val="minMax"/>
        </c:scaling>
        <c:delete val="1"/>
        <c:axPos val="b"/>
        <c:numFmt formatCode="0.00" sourceLinked="1"/>
        <c:majorTickMark val="none"/>
        <c:minorTickMark val="none"/>
        <c:tickLblPos val="nextTo"/>
        <c:crossAx val="17480176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Treatment (presys)</a:t>
            </a:r>
            <a:r>
              <a:rPr lang="en-US" baseline="0"/>
              <a:t> Means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ANCOVA!$U$28</c:f>
              <c:strCache>
                <c:ptCount val="1"/>
                <c:pt idx="0">
                  <c:v>Mean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ANCOVA!$T$29:$T$32</c:f>
              <c:strCache>
                <c:ptCount val="4"/>
                <c:pt idx="0">
                  <c:v>New Medicine</c:v>
                </c:pt>
                <c:pt idx="1">
                  <c:v>None</c:v>
                </c:pt>
                <c:pt idx="2">
                  <c:v>Old Medicine</c:v>
                </c:pt>
                <c:pt idx="3">
                  <c:v>Placebo</c:v>
                </c:pt>
              </c:strCache>
            </c:strRef>
          </c:cat>
          <c:val>
            <c:numRef>
              <c:f>ANCOVA!$U$29:$U$32</c:f>
              <c:numCache>
                <c:formatCode>0.00</c:formatCode>
                <c:ptCount val="4"/>
                <c:pt idx="0">
                  <c:v>152.75</c:v>
                </c:pt>
                <c:pt idx="1">
                  <c:v>149.59166666666667</c:v>
                </c:pt>
                <c:pt idx="2">
                  <c:v>152.22499999999999</c:v>
                </c:pt>
                <c:pt idx="3">
                  <c:v>151.57499999999999</c:v>
                </c:pt>
              </c:numCache>
            </c:numRef>
          </c:val>
          <c:extLst>
            <c:ext xmlns:c16="http://schemas.microsoft.com/office/drawing/2014/chart" uri="{C3380CC4-5D6E-409C-BE32-E72D297353CC}">
              <c16:uniqueId val="{00000000-9B98-4D78-A6E4-0E3CE4A0DD26}"/>
            </c:ext>
          </c:extLst>
        </c:ser>
        <c:dLbls>
          <c:dLblPos val="outEnd"/>
          <c:showLegendKey val="0"/>
          <c:showVal val="1"/>
          <c:showCatName val="0"/>
          <c:showSerName val="0"/>
          <c:showPercent val="0"/>
          <c:showBubbleSize val="0"/>
        </c:dLbls>
        <c:gapWidth val="182"/>
        <c:axId val="1718322960"/>
        <c:axId val="1718328720"/>
      </c:barChart>
      <c:catAx>
        <c:axId val="171832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328720"/>
        <c:crosses val="autoZero"/>
        <c:auto val="1"/>
        <c:lblAlgn val="ctr"/>
        <c:lblOffset val="100"/>
        <c:noMultiLvlLbl val="0"/>
      </c:catAx>
      <c:valAx>
        <c:axId val="1718328720"/>
        <c:scaling>
          <c:orientation val="minMax"/>
        </c:scaling>
        <c:delete val="1"/>
        <c:axPos val="b"/>
        <c:numFmt formatCode="0.00" sourceLinked="1"/>
        <c:majorTickMark val="none"/>
        <c:minorTickMark val="none"/>
        <c:tickLblPos val="nextTo"/>
        <c:crossAx val="17183229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Treatment (postdias) Means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ANCOVA!$U$36</c:f>
              <c:strCache>
                <c:ptCount val="1"/>
                <c:pt idx="0">
                  <c:v>Mean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ANCOVA!$T$37:$T$40</c:f>
              <c:strCache>
                <c:ptCount val="4"/>
                <c:pt idx="0">
                  <c:v>New Medicine</c:v>
                </c:pt>
                <c:pt idx="1">
                  <c:v>None</c:v>
                </c:pt>
                <c:pt idx="2">
                  <c:v>Old Medicine</c:v>
                </c:pt>
                <c:pt idx="3">
                  <c:v>Placebo</c:v>
                </c:pt>
              </c:strCache>
            </c:strRef>
          </c:cat>
          <c:val>
            <c:numRef>
              <c:f>ANCOVA!$U$37:$U$40</c:f>
              <c:numCache>
                <c:formatCode>0.00</c:formatCode>
                <c:ptCount val="4"/>
                <c:pt idx="0">
                  <c:v>94.3</c:v>
                </c:pt>
                <c:pt idx="1">
                  <c:v>95.141666666666666</c:v>
                </c:pt>
                <c:pt idx="2">
                  <c:v>92.825000000000003</c:v>
                </c:pt>
                <c:pt idx="3">
                  <c:v>93.775000000000006</c:v>
                </c:pt>
              </c:numCache>
            </c:numRef>
          </c:val>
          <c:extLst>
            <c:ext xmlns:c16="http://schemas.microsoft.com/office/drawing/2014/chart" uri="{C3380CC4-5D6E-409C-BE32-E72D297353CC}">
              <c16:uniqueId val="{00000000-8C5E-471C-B22A-93E9298FB926}"/>
            </c:ext>
          </c:extLst>
        </c:ser>
        <c:dLbls>
          <c:dLblPos val="outEnd"/>
          <c:showLegendKey val="0"/>
          <c:showVal val="1"/>
          <c:showCatName val="0"/>
          <c:showSerName val="0"/>
          <c:showPercent val="0"/>
          <c:showBubbleSize val="0"/>
        </c:dLbls>
        <c:gapWidth val="182"/>
        <c:axId val="1497102880"/>
        <c:axId val="1497100960"/>
      </c:barChart>
      <c:catAx>
        <c:axId val="149710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100960"/>
        <c:crosses val="autoZero"/>
        <c:auto val="1"/>
        <c:lblAlgn val="ctr"/>
        <c:lblOffset val="100"/>
        <c:noMultiLvlLbl val="0"/>
      </c:catAx>
      <c:valAx>
        <c:axId val="1497100960"/>
        <c:scaling>
          <c:orientation val="minMax"/>
        </c:scaling>
        <c:delete val="1"/>
        <c:axPos val="b"/>
        <c:numFmt formatCode="0.00" sourceLinked="1"/>
        <c:majorTickMark val="none"/>
        <c:minorTickMark val="none"/>
        <c:tickLblPos val="nextTo"/>
        <c:crossAx val="14971028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Treatment (postsys) Means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ANCOVA!$U$44</c:f>
              <c:strCache>
                <c:ptCount val="1"/>
                <c:pt idx="0">
                  <c:v>Mean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ANCOVA!$T$45:$T$48</c:f>
              <c:strCache>
                <c:ptCount val="4"/>
                <c:pt idx="0">
                  <c:v>New Medicine</c:v>
                </c:pt>
                <c:pt idx="1">
                  <c:v>None</c:v>
                </c:pt>
                <c:pt idx="2">
                  <c:v>Old Medicine</c:v>
                </c:pt>
                <c:pt idx="3">
                  <c:v>Placebo</c:v>
                </c:pt>
              </c:strCache>
            </c:strRef>
          </c:cat>
          <c:val>
            <c:numRef>
              <c:f>ANCOVA!$U$45:$U$48</c:f>
              <c:numCache>
                <c:formatCode>0.00</c:formatCode>
                <c:ptCount val="4"/>
                <c:pt idx="0">
                  <c:v>132.67500000000001</c:v>
                </c:pt>
                <c:pt idx="1">
                  <c:v>134.33000000000001</c:v>
                </c:pt>
                <c:pt idx="2">
                  <c:v>132.92500000000001</c:v>
                </c:pt>
                <c:pt idx="3">
                  <c:v>132.42500000000001</c:v>
                </c:pt>
              </c:numCache>
            </c:numRef>
          </c:val>
          <c:extLst>
            <c:ext xmlns:c16="http://schemas.microsoft.com/office/drawing/2014/chart" uri="{C3380CC4-5D6E-409C-BE32-E72D297353CC}">
              <c16:uniqueId val="{00000000-16CC-427E-A92C-6960AACBDB29}"/>
            </c:ext>
          </c:extLst>
        </c:ser>
        <c:dLbls>
          <c:dLblPos val="outEnd"/>
          <c:showLegendKey val="0"/>
          <c:showVal val="1"/>
          <c:showCatName val="0"/>
          <c:showSerName val="0"/>
          <c:showPercent val="0"/>
          <c:showBubbleSize val="0"/>
        </c:dLbls>
        <c:gapWidth val="182"/>
        <c:axId val="1671351216"/>
        <c:axId val="1671351696"/>
      </c:barChart>
      <c:catAx>
        <c:axId val="167135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351696"/>
        <c:crosses val="autoZero"/>
        <c:auto val="1"/>
        <c:lblAlgn val="ctr"/>
        <c:lblOffset val="100"/>
        <c:noMultiLvlLbl val="0"/>
      </c:catAx>
      <c:valAx>
        <c:axId val="1671351696"/>
        <c:scaling>
          <c:orientation val="minMax"/>
        </c:scaling>
        <c:delete val="1"/>
        <c:axPos val="b"/>
        <c:numFmt formatCode="0.00" sourceLinked="1"/>
        <c:majorTickMark val="none"/>
        <c:minorTickMark val="none"/>
        <c:tickLblPos val="nextTo"/>
        <c:crossAx val="16713512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Correlation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ANCOVA!$L$52</c:f>
              <c:strCache>
                <c:ptCount val="1"/>
                <c:pt idx="0">
                  <c:v>postdias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ANCOVA!$K$53:$K$172</c:f>
              <c:numCache>
                <c:formatCode>General</c:formatCode>
                <c:ptCount val="120"/>
                <c:pt idx="0">
                  <c:v>113</c:v>
                </c:pt>
                <c:pt idx="1">
                  <c:v>113.5</c:v>
                </c:pt>
                <c:pt idx="2">
                  <c:v>102</c:v>
                </c:pt>
                <c:pt idx="3">
                  <c:v>108.5</c:v>
                </c:pt>
                <c:pt idx="4">
                  <c:v>106</c:v>
                </c:pt>
                <c:pt idx="5">
                  <c:v>109</c:v>
                </c:pt>
                <c:pt idx="6">
                  <c:v>101</c:v>
                </c:pt>
                <c:pt idx="7">
                  <c:v>109.5</c:v>
                </c:pt>
                <c:pt idx="8">
                  <c:v>104</c:v>
                </c:pt>
                <c:pt idx="9">
                  <c:v>103.5</c:v>
                </c:pt>
                <c:pt idx="10">
                  <c:v>108</c:v>
                </c:pt>
                <c:pt idx="11">
                  <c:v>103</c:v>
                </c:pt>
                <c:pt idx="12">
                  <c:v>104</c:v>
                </c:pt>
                <c:pt idx="13">
                  <c:v>104.5</c:v>
                </c:pt>
                <c:pt idx="14">
                  <c:v>101</c:v>
                </c:pt>
                <c:pt idx="15">
                  <c:v>105.5</c:v>
                </c:pt>
                <c:pt idx="16">
                  <c:v>105.5</c:v>
                </c:pt>
                <c:pt idx="17">
                  <c:v>105</c:v>
                </c:pt>
                <c:pt idx="18">
                  <c:v>106</c:v>
                </c:pt>
                <c:pt idx="19">
                  <c:v>104.5</c:v>
                </c:pt>
                <c:pt idx="20">
                  <c:v>102</c:v>
                </c:pt>
                <c:pt idx="21">
                  <c:v>102.5</c:v>
                </c:pt>
                <c:pt idx="22">
                  <c:v>98</c:v>
                </c:pt>
                <c:pt idx="23">
                  <c:v>109.5</c:v>
                </c:pt>
                <c:pt idx="24">
                  <c:v>105</c:v>
                </c:pt>
                <c:pt idx="25">
                  <c:v>106.5</c:v>
                </c:pt>
                <c:pt idx="26">
                  <c:v>102.5</c:v>
                </c:pt>
                <c:pt idx="27">
                  <c:v>105.5</c:v>
                </c:pt>
                <c:pt idx="28">
                  <c:v>95.5</c:v>
                </c:pt>
                <c:pt idx="29">
                  <c:v>102.5</c:v>
                </c:pt>
                <c:pt idx="30">
                  <c:v>102.5</c:v>
                </c:pt>
                <c:pt idx="31">
                  <c:v>106</c:v>
                </c:pt>
                <c:pt idx="32">
                  <c:v>97.5</c:v>
                </c:pt>
                <c:pt idx="33">
                  <c:v>102</c:v>
                </c:pt>
                <c:pt idx="34">
                  <c:v>103</c:v>
                </c:pt>
                <c:pt idx="35">
                  <c:v>104.5</c:v>
                </c:pt>
                <c:pt idx="36">
                  <c:v>112</c:v>
                </c:pt>
                <c:pt idx="37">
                  <c:v>104</c:v>
                </c:pt>
                <c:pt idx="38">
                  <c:v>104</c:v>
                </c:pt>
                <c:pt idx="39">
                  <c:v>100.5</c:v>
                </c:pt>
                <c:pt idx="40">
                  <c:v>103</c:v>
                </c:pt>
                <c:pt idx="41">
                  <c:v>101.5</c:v>
                </c:pt>
                <c:pt idx="42">
                  <c:v>108.5</c:v>
                </c:pt>
                <c:pt idx="43">
                  <c:v>100.5</c:v>
                </c:pt>
                <c:pt idx="44">
                  <c:v>101</c:v>
                </c:pt>
                <c:pt idx="45">
                  <c:v>111.5</c:v>
                </c:pt>
                <c:pt idx="46">
                  <c:v>95</c:v>
                </c:pt>
                <c:pt idx="47">
                  <c:v>101.5</c:v>
                </c:pt>
                <c:pt idx="48">
                  <c:v>103.5</c:v>
                </c:pt>
                <c:pt idx="49">
                  <c:v>101</c:v>
                </c:pt>
                <c:pt idx="50">
                  <c:v>105.5</c:v>
                </c:pt>
                <c:pt idx="51">
                  <c:v>97</c:v>
                </c:pt>
                <c:pt idx="52">
                  <c:v>96.5</c:v>
                </c:pt>
                <c:pt idx="53">
                  <c:v>99</c:v>
                </c:pt>
                <c:pt idx="54">
                  <c:v>103.5</c:v>
                </c:pt>
                <c:pt idx="55">
                  <c:v>100</c:v>
                </c:pt>
                <c:pt idx="56">
                  <c:v>100</c:v>
                </c:pt>
                <c:pt idx="57">
                  <c:v>98</c:v>
                </c:pt>
                <c:pt idx="58">
                  <c:v>101</c:v>
                </c:pt>
                <c:pt idx="59">
                  <c:v>101</c:v>
                </c:pt>
                <c:pt idx="60">
                  <c:v>103.5</c:v>
                </c:pt>
                <c:pt idx="61">
                  <c:v>103</c:v>
                </c:pt>
                <c:pt idx="62">
                  <c:v>98.5</c:v>
                </c:pt>
                <c:pt idx="63">
                  <c:v>104</c:v>
                </c:pt>
                <c:pt idx="64">
                  <c:v>98.5</c:v>
                </c:pt>
                <c:pt idx="65">
                  <c:v>98.5</c:v>
                </c:pt>
                <c:pt idx="66">
                  <c:v>100.5</c:v>
                </c:pt>
                <c:pt idx="67">
                  <c:v>100</c:v>
                </c:pt>
                <c:pt idx="68">
                  <c:v>98</c:v>
                </c:pt>
                <c:pt idx="69">
                  <c:v>96.5</c:v>
                </c:pt>
                <c:pt idx="70">
                  <c:v>99.5</c:v>
                </c:pt>
                <c:pt idx="71">
                  <c:v>99</c:v>
                </c:pt>
                <c:pt idx="72">
                  <c:v>104</c:v>
                </c:pt>
                <c:pt idx="73">
                  <c:v>101</c:v>
                </c:pt>
                <c:pt idx="74">
                  <c:v>100.5</c:v>
                </c:pt>
                <c:pt idx="75">
                  <c:v>100</c:v>
                </c:pt>
                <c:pt idx="76">
                  <c:v>99</c:v>
                </c:pt>
                <c:pt idx="77">
                  <c:v>104</c:v>
                </c:pt>
                <c:pt idx="78">
                  <c:v>103</c:v>
                </c:pt>
                <c:pt idx="79">
                  <c:v>102.5</c:v>
                </c:pt>
                <c:pt idx="80">
                  <c:v>95.5</c:v>
                </c:pt>
                <c:pt idx="81">
                  <c:v>97.5</c:v>
                </c:pt>
                <c:pt idx="82">
                  <c:v>97.5</c:v>
                </c:pt>
                <c:pt idx="83">
                  <c:v>96</c:v>
                </c:pt>
                <c:pt idx="84">
                  <c:v>104.5</c:v>
                </c:pt>
                <c:pt idx="85">
                  <c:v>95.5</c:v>
                </c:pt>
                <c:pt idx="86">
                  <c:v>92.5</c:v>
                </c:pt>
                <c:pt idx="87">
                  <c:v>102.5</c:v>
                </c:pt>
                <c:pt idx="88">
                  <c:v>102</c:v>
                </c:pt>
                <c:pt idx="89">
                  <c:v>91</c:v>
                </c:pt>
                <c:pt idx="90">
                  <c:v>95.5</c:v>
                </c:pt>
                <c:pt idx="91">
                  <c:v>98.5</c:v>
                </c:pt>
                <c:pt idx="92">
                  <c:v>100</c:v>
                </c:pt>
                <c:pt idx="93">
                  <c:v>91.5</c:v>
                </c:pt>
                <c:pt idx="94">
                  <c:v>96.5</c:v>
                </c:pt>
                <c:pt idx="95">
                  <c:v>102</c:v>
                </c:pt>
                <c:pt idx="96">
                  <c:v>96</c:v>
                </c:pt>
                <c:pt idx="97">
                  <c:v>96.5</c:v>
                </c:pt>
                <c:pt idx="98">
                  <c:v>96</c:v>
                </c:pt>
                <c:pt idx="99">
                  <c:v>91.5</c:v>
                </c:pt>
                <c:pt idx="100">
                  <c:v>95</c:v>
                </c:pt>
                <c:pt idx="101">
                  <c:v>101</c:v>
                </c:pt>
                <c:pt idx="102">
                  <c:v>90</c:v>
                </c:pt>
                <c:pt idx="103">
                  <c:v>95</c:v>
                </c:pt>
                <c:pt idx="104">
                  <c:v>94.5</c:v>
                </c:pt>
                <c:pt idx="105">
                  <c:v>100</c:v>
                </c:pt>
                <c:pt idx="106">
                  <c:v>97</c:v>
                </c:pt>
                <c:pt idx="107">
                  <c:v>96</c:v>
                </c:pt>
                <c:pt idx="108">
                  <c:v>94</c:v>
                </c:pt>
                <c:pt idx="109">
                  <c:v>91</c:v>
                </c:pt>
                <c:pt idx="110">
                  <c:v>95</c:v>
                </c:pt>
                <c:pt idx="111">
                  <c:v>96.5</c:v>
                </c:pt>
                <c:pt idx="112">
                  <c:v>92</c:v>
                </c:pt>
                <c:pt idx="113">
                  <c:v>89</c:v>
                </c:pt>
                <c:pt idx="114">
                  <c:v>96</c:v>
                </c:pt>
                <c:pt idx="115">
                  <c:v>91.5</c:v>
                </c:pt>
                <c:pt idx="116">
                  <c:v>94.5</c:v>
                </c:pt>
                <c:pt idx="117">
                  <c:v>92</c:v>
                </c:pt>
                <c:pt idx="118">
                  <c:v>93</c:v>
                </c:pt>
                <c:pt idx="119">
                  <c:v>92.5</c:v>
                </c:pt>
              </c:numCache>
            </c:numRef>
          </c:xVal>
          <c:yVal>
            <c:numRef>
              <c:f>ANCOVA!$L$53:$L$172</c:f>
              <c:numCache>
                <c:formatCode>General</c:formatCode>
                <c:ptCount val="120"/>
                <c:pt idx="0">
                  <c:v>108</c:v>
                </c:pt>
                <c:pt idx="1">
                  <c:v>96</c:v>
                </c:pt>
                <c:pt idx="2">
                  <c:v>94.5</c:v>
                </c:pt>
                <c:pt idx="3">
                  <c:v>95.5</c:v>
                </c:pt>
                <c:pt idx="4">
                  <c:v>98.5</c:v>
                </c:pt>
                <c:pt idx="5">
                  <c:v>104.5</c:v>
                </c:pt>
                <c:pt idx="6">
                  <c:v>92</c:v>
                </c:pt>
                <c:pt idx="7">
                  <c:v>100</c:v>
                </c:pt>
                <c:pt idx="8">
                  <c:v>95.5</c:v>
                </c:pt>
                <c:pt idx="9">
                  <c:v>99</c:v>
                </c:pt>
                <c:pt idx="10">
                  <c:v>100.5</c:v>
                </c:pt>
                <c:pt idx="11">
                  <c:v>100.5</c:v>
                </c:pt>
                <c:pt idx="12">
                  <c:v>100.5</c:v>
                </c:pt>
                <c:pt idx="13">
                  <c:v>99.5</c:v>
                </c:pt>
                <c:pt idx="14">
                  <c:v>97</c:v>
                </c:pt>
                <c:pt idx="15">
                  <c:v>93</c:v>
                </c:pt>
                <c:pt idx="16">
                  <c:v>99.5</c:v>
                </c:pt>
                <c:pt idx="17">
                  <c:v>100.5</c:v>
                </c:pt>
                <c:pt idx="18">
                  <c:v>95.5</c:v>
                </c:pt>
                <c:pt idx="19">
                  <c:v>98.5</c:v>
                </c:pt>
                <c:pt idx="20">
                  <c:v>99</c:v>
                </c:pt>
                <c:pt idx="21">
                  <c:v>95.5</c:v>
                </c:pt>
                <c:pt idx="22">
                  <c:v>91.5</c:v>
                </c:pt>
                <c:pt idx="23">
                  <c:v>102</c:v>
                </c:pt>
                <c:pt idx="24">
                  <c:v>99</c:v>
                </c:pt>
                <c:pt idx="25">
                  <c:v>100.5</c:v>
                </c:pt>
                <c:pt idx="26">
                  <c:v>96.5</c:v>
                </c:pt>
                <c:pt idx="27">
                  <c:v>94</c:v>
                </c:pt>
                <c:pt idx="28">
                  <c:v>86.5</c:v>
                </c:pt>
                <c:pt idx="29">
                  <c:v>96</c:v>
                </c:pt>
                <c:pt idx="30">
                  <c:v>91</c:v>
                </c:pt>
                <c:pt idx="31">
                  <c:v>93.5</c:v>
                </c:pt>
                <c:pt idx="32">
                  <c:v>88.5</c:v>
                </c:pt>
                <c:pt idx="33">
                  <c:v>91.5</c:v>
                </c:pt>
                <c:pt idx="34">
                  <c:v>94.5</c:v>
                </c:pt>
                <c:pt idx="35">
                  <c:v>96</c:v>
                </c:pt>
                <c:pt idx="36">
                  <c:v>97</c:v>
                </c:pt>
                <c:pt idx="37">
                  <c:v>101.5</c:v>
                </c:pt>
                <c:pt idx="38">
                  <c:v>93.5</c:v>
                </c:pt>
                <c:pt idx="39">
                  <c:v>97.5</c:v>
                </c:pt>
                <c:pt idx="40">
                  <c:v>99.5</c:v>
                </c:pt>
                <c:pt idx="41">
                  <c:v>99.5</c:v>
                </c:pt>
                <c:pt idx="42">
                  <c:v>99</c:v>
                </c:pt>
                <c:pt idx="43">
                  <c:v>92</c:v>
                </c:pt>
                <c:pt idx="44">
                  <c:v>97</c:v>
                </c:pt>
                <c:pt idx="45">
                  <c:v>101</c:v>
                </c:pt>
                <c:pt idx="46">
                  <c:v>89.5</c:v>
                </c:pt>
                <c:pt idx="47">
                  <c:v>96.5</c:v>
                </c:pt>
                <c:pt idx="48">
                  <c:v>91.5</c:v>
                </c:pt>
                <c:pt idx="49">
                  <c:v>95</c:v>
                </c:pt>
                <c:pt idx="50">
                  <c:v>95.5</c:v>
                </c:pt>
                <c:pt idx="51">
                  <c:v>93.5</c:v>
                </c:pt>
                <c:pt idx="52">
                  <c:v>95</c:v>
                </c:pt>
                <c:pt idx="53">
                  <c:v>93</c:v>
                </c:pt>
                <c:pt idx="54">
                  <c:v>96.5</c:v>
                </c:pt>
                <c:pt idx="55">
                  <c:v>100</c:v>
                </c:pt>
                <c:pt idx="56">
                  <c:v>89.5</c:v>
                </c:pt>
                <c:pt idx="57">
                  <c:v>99</c:v>
                </c:pt>
                <c:pt idx="58">
                  <c:v>94.5</c:v>
                </c:pt>
                <c:pt idx="59">
                  <c:v>92</c:v>
                </c:pt>
                <c:pt idx="60">
                  <c:v>94</c:v>
                </c:pt>
                <c:pt idx="61">
                  <c:v>101.5</c:v>
                </c:pt>
                <c:pt idx="62">
                  <c:v>92</c:v>
                </c:pt>
                <c:pt idx="63">
                  <c:v>97.5</c:v>
                </c:pt>
                <c:pt idx="64">
                  <c:v>92</c:v>
                </c:pt>
                <c:pt idx="65">
                  <c:v>93.5</c:v>
                </c:pt>
                <c:pt idx="66">
                  <c:v>89.5</c:v>
                </c:pt>
                <c:pt idx="67">
                  <c:v>100.5</c:v>
                </c:pt>
                <c:pt idx="68">
                  <c:v>89</c:v>
                </c:pt>
                <c:pt idx="69">
                  <c:v>96</c:v>
                </c:pt>
                <c:pt idx="70">
                  <c:v>95</c:v>
                </c:pt>
                <c:pt idx="71">
                  <c:v>96</c:v>
                </c:pt>
                <c:pt idx="72">
                  <c:v>92</c:v>
                </c:pt>
                <c:pt idx="73">
                  <c:v>93</c:v>
                </c:pt>
                <c:pt idx="74">
                  <c:v>89</c:v>
                </c:pt>
                <c:pt idx="75">
                  <c:v>95</c:v>
                </c:pt>
                <c:pt idx="76">
                  <c:v>93</c:v>
                </c:pt>
                <c:pt idx="77">
                  <c:v>95</c:v>
                </c:pt>
                <c:pt idx="78">
                  <c:v>93.5</c:v>
                </c:pt>
                <c:pt idx="79">
                  <c:v>94</c:v>
                </c:pt>
                <c:pt idx="80">
                  <c:v>93</c:v>
                </c:pt>
                <c:pt idx="81">
                  <c:v>92</c:v>
                </c:pt>
                <c:pt idx="82">
                  <c:v>99.5</c:v>
                </c:pt>
                <c:pt idx="83">
                  <c:v>93.5</c:v>
                </c:pt>
                <c:pt idx="84">
                  <c:v>101</c:v>
                </c:pt>
                <c:pt idx="85">
                  <c:v>97.5</c:v>
                </c:pt>
                <c:pt idx="86">
                  <c:v>93.5</c:v>
                </c:pt>
                <c:pt idx="87">
                  <c:v>93.5</c:v>
                </c:pt>
                <c:pt idx="88">
                  <c:v>93.5</c:v>
                </c:pt>
                <c:pt idx="89">
                  <c:v>90.5</c:v>
                </c:pt>
                <c:pt idx="90">
                  <c:v>92</c:v>
                </c:pt>
                <c:pt idx="91">
                  <c:v>89.5</c:v>
                </c:pt>
                <c:pt idx="92">
                  <c:v>87.5</c:v>
                </c:pt>
                <c:pt idx="93">
                  <c:v>87.5</c:v>
                </c:pt>
                <c:pt idx="94">
                  <c:v>88.5</c:v>
                </c:pt>
                <c:pt idx="95">
                  <c:v>95.5</c:v>
                </c:pt>
                <c:pt idx="96">
                  <c:v>96.5</c:v>
                </c:pt>
                <c:pt idx="97">
                  <c:v>92.5</c:v>
                </c:pt>
                <c:pt idx="98">
                  <c:v>94.5</c:v>
                </c:pt>
                <c:pt idx="99">
                  <c:v>93</c:v>
                </c:pt>
                <c:pt idx="100">
                  <c:v>89</c:v>
                </c:pt>
                <c:pt idx="101">
                  <c:v>90.5</c:v>
                </c:pt>
                <c:pt idx="102">
                  <c:v>92</c:v>
                </c:pt>
                <c:pt idx="103">
                  <c:v>92</c:v>
                </c:pt>
                <c:pt idx="104">
                  <c:v>91</c:v>
                </c:pt>
                <c:pt idx="105">
                  <c:v>88</c:v>
                </c:pt>
                <c:pt idx="106">
                  <c:v>92</c:v>
                </c:pt>
                <c:pt idx="107">
                  <c:v>94</c:v>
                </c:pt>
                <c:pt idx="108">
                  <c:v>93</c:v>
                </c:pt>
                <c:pt idx="109">
                  <c:v>90</c:v>
                </c:pt>
                <c:pt idx="110">
                  <c:v>84</c:v>
                </c:pt>
                <c:pt idx="111">
                  <c:v>92</c:v>
                </c:pt>
                <c:pt idx="112">
                  <c:v>85.5</c:v>
                </c:pt>
                <c:pt idx="113">
                  <c:v>89</c:v>
                </c:pt>
                <c:pt idx="114">
                  <c:v>93</c:v>
                </c:pt>
                <c:pt idx="115">
                  <c:v>88.5</c:v>
                </c:pt>
                <c:pt idx="116">
                  <c:v>93</c:v>
                </c:pt>
                <c:pt idx="117">
                  <c:v>83</c:v>
                </c:pt>
                <c:pt idx="118">
                  <c:v>89</c:v>
                </c:pt>
                <c:pt idx="119">
                  <c:v>90</c:v>
                </c:pt>
              </c:numCache>
            </c:numRef>
          </c:yVal>
          <c:smooth val="0"/>
          <c:extLst>
            <c:ext xmlns:c16="http://schemas.microsoft.com/office/drawing/2014/chart" uri="{C3380CC4-5D6E-409C-BE32-E72D297353CC}">
              <c16:uniqueId val="{00000000-6927-4BBB-94B6-12DC973AA4AD}"/>
            </c:ext>
          </c:extLst>
        </c:ser>
        <c:dLbls>
          <c:showLegendKey val="0"/>
          <c:showVal val="0"/>
          <c:showCatName val="0"/>
          <c:showSerName val="0"/>
          <c:showPercent val="0"/>
          <c:showBubbleSize val="0"/>
        </c:dLbls>
        <c:axId val="777462608"/>
        <c:axId val="777481808"/>
      </c:scatterChart>
      <c:valAx>
        <c:axId val="777462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Pre Diastolic BP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81808"/>
        <c:crosses val="autoZero"/>
        <c:crossBetween val="midCat"/>
      </c:valAx>
      <c:valAx>
        <c:axId val="77748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Post Diastolic BP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6260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ANCOVA!$L$198</c:f>
              <c:strCache>
                <c:ptCount val="1"/>
                <c:pt idx="0">
                  <c:v>postsys</c:v>
                </c:pt>
              </c:strCache>
            </c:strRef>
          </c:tx>
          <c:spPr>
            <a:ln w="38100" cap="rnd">
              <a:noFill/>
              <a:round/>
            </a:ln>
            <a:effectLst/>
          </c:spPr>
          <c:marker>
            <c:symbol val="circle"/>
            <c:size val="5"/>
            <c:spPr>
              <a:solidFill>
                <a:schemeClr val="accent1"/>
              </a:solidFill>
              <a:ln w="9525">
                <a:solidFill>
                  <a:schemeClr val="accent1"/>
                </a:solidFill>
              </a:ln>
              <a:effectLst/>
            </c:spPr>
          </c:marker>
          <c:xVal>
            <c:numRef>
              <c:f>ANCOVA!$K$199:$K$318</c:f>
              <c:numCache>
                <c:formatCode>General</c:formatCode>
                <c:ptCount val="120"/>
                <c:pt idx="0">
                  <c:v>169</c:v>
                </c:pt>
                <c:pt idx="1">
                  <c:v>161.5</c:v>
                </c:pt>
                <c:pt idx="2">
                  <c:v>156</c:v>
                </c:pt>
                <c:pt idx="3">
                  <c:v>157.5</c:v>
                </c:pt>
                <c:pt idx="4">
                  <c:v>159</c:v>
                </c:pt>
                <c:pt idx="5">
                  <c:v>163.5</c:v>
                </c:pt>
                <c:pt idx="6">
                  <c:v>145</c:v>
                </c:pt>
                <c:pt idx="7">
                  <c:v>167</c:v>
                </c:pt>
                <c:pt idx="8">
                  <c:v>152.5</c:v>
                </c:pt>
                <c:pt idx="9">
                  <c:v>152.5</c:v>
                </c:pt>
                <c:pt idx="10">
                  <c:v>154</c:v>
                </c:pt>
                <c:pt idx="11">
                  <c:v>162</c:v>
                </c:pt>
                <c:pt idx="12">
                  <c:v>157.5</c:v>
                </c:pt>
                <c:pt idx="13">
                  <c:v>159</c:v>
                </c:pt>
                <c:pt idx="14">
                  <c:v>154.5</c:v>
                </c:pt>
                <c:pt idx="15">
                  <c:v>151</c:v>
                </c:pt>
                <c:pt idx="16">
                  <c:v>166</c:v>
                </c:pt>
                <c:pt idx="17">
                  <c:v>157</c:v>
                </c:pt>
                <c:pt idx="18">
                  <c:v>158.5</c:v>
                </c:pt>
                <c:pt idx="19">
                  <c:v>156.5</c:v>
                </c:pt>
                <c:pt idx="20">
                  <c:v>155</c:v>
                </c:pt>
                <c:pt idx="21">
                  <c:v>158</c:v>
                </c:pt>
                <c:pt idx="22">
                  <c:v>153</c:v>
                </c:pt>
                <c:pt idx="23">
                  <c:v>164</c:v>
                </c:pt>
                <c:pt idx="24">
                  <c:v>151</c:v>
                </c:pt>
                <c:pt idx="25">
                  <c:v>155.5</c:v>
                </c:pt>
                <c:pt idx="26">
                  <c:v>156.5</c:v>
                </c:pt>
                <c:pt idx="27">
                  <c:v>158.5</c:v>
                </c:pt>
                <c:pt idx="28">
                  <c:v>147</c:v>
                </c:pt>
                <c:pt idx="29">
                  <c:v>156.5</c:v>
                </c:pt>
                <c:pt idx="30">
                  <c:v>147</c:v>
                </c:pt>
                <c:pt idx="31">
                  <c:v>148</c:v>
                </c:pt>
                <c:pt idx="32">
                  <c:v>151.5</c:v>
                </c:pt>
                <c:pt idx="33">
                  <c:v>155</c:v>
                </c:pt>
                <c:pt idx="34">
                  <c:v>159</c:v>
                </c:pt>
                <c:pt idx="35">
                  <c:v>154</c:v>
                </c:pt>
                <c:pt idx="36">
                  <c:v>157.5</c:v>
                </c:pt>
                <c:pt idx="37">
                  <c:v>153</c:v>
                </c:pt>
                <c:pt idx="38">
                  <c:v>147</c:v>
                </c:pt>
                <c:pt idx="39">
                  <c:v>148</c:v>
                </c:pt>
                <c:pt idx="40">
                  <c:v>152.5</c:v>
                </c:pt>
                <c:pt idx="41">
                  <c:v>152</c:v>
                </c:pt>
                <c:pt idx="42">
                  <c:v>155.5</c:v>
                </c:pt>
                <c:pt idx="43">
                  <c:v>142</c:v>
                </c:pt>
                <c:pt idx="44">
                  <c:v>156.5</c:v>
                </c:pt>
                <c:pt idx="45">
                  <c:v>161.5</c:v>
                </c:pt>
                <c:pt idx="46">
                  <c:v>150.5</c:v>
                </c:pt>
                <c:pt idx="47">
                  <c:v>152</c:v>
                </c:pt>
                <c:pt idx="48">
                  <c:v>151.5</c:v>
                </c:pt>
                <c:pt idx="49">
                  <c:v>149.5</c:v>
                </c:pt>
                <c:pt idx="50">
                  <c:v>151</c:v>
                </c:pt>
                <c:pt idx="51">
                  <c:v>152.5</c:v>
                </c:pt>
                <c:pt idx="52">
                  <c:v>148</c:v>
                </c:pt>
                <c:pt idx="53">
                  <c:v>149</c:v>
                </c:pt>
                <c:pt idx="54">
                  <c:v>159.5</c:v>
                </c:pt>
                <c:pt idx="55">
                  <c:v>152</c:v>
                </c:pt>
                <c:pt idx="56">
                  <c:v>157.5</c:v>
                </c:pt>
                <c:pt idx="57">
                  <c:v>149</c:v>
                </c:pt>
                <c:pt idx="58">
                  <c:v>151</c:v>
                </c:pt>
                <c:pt idx="59">
                  <c:v>150.5</c:v>
                </c:pt>
                <c:pt idx="60">
                  <c:v>146.5</c:v>
                </c:pt>
                <c:pt idx="61">
                  <c:v>149</c:v>
                </c:pt>
                <c:pt idx="62">
                  <c:v>149.5</c:v>
                </c:pt>
                <c:pt idx="63">
                  <c:v>159</c:v>
                </c:pt>
                <c:pt idx="64">
                  <c:v>141</c:v>
                </c:pt>
                <c:pt idx="65">
                  <c:v>153</c:v>
                </c:pt>
                <c:pt idx="66">
                  <c:v>155</c:v>
                </c:pt>
                <c:pt idx="67">
                  <c:v>148.5</c:v>
                </c:pt>
                <c:pt idx="68">
                  <c:v>146</c:v>
                </c:pt>
                <c:pt idx="69">
                  <c:v>144</c:v>
                </c:pt>
                <c:pt idx="70">
                  <c:v>152</c:v>
                </c:pt>
                <c:pt idx="71">
                  <c:v>148.5</c:v>
                </c:pt>
                <c:pt idx="72">
                  <c:v>148</c:v>
                </c:pt>
                <c:pt idx="73">
                  <c:v>155</c:v>
                </c:pt>
                <c:pt idx="74">
                  <c:v>145</c:v>
                </c:pt>
                <c:pt idx="75">
                  <c:v>150</c:v>
                </c:pt>
                <c:pt idx="76">
                  <c:v>145</c:v>
                </c:pt>
                <c:pt idx="77">
                  <c:v>150.5</c:v>
                </c:pt>
                <c:pt idx="78">
                  <c:v>159</c:v>
                </c:pt>
                <c:pt idx="79">
                  <c:v>149</c:v>
                </c:pt>
                <c:pt idx="80">
                  <c:v>145.5</c:v>
                </c:pt>
                <c:pt idx="81">
                  <c:v>151</c:v>
                </c:pt>
                <c:pt idx="82">
                  <c:v>149.5</c:v>
                </c:pt>
                <c:pt idx="83">
                  <c:v>150</c:v>
                </c:pt>
                <c:pt idx="84">
                  <c:v>153.5</c:v>
                </c:pt>
                <c:pt idx="85">
                  <c:v>147.5</c:v>
                </c:pt>
                <c:pt idx="86">
                  <c:v>147.5</c:v>
                </c:pt>
                <c:pt idx="87">
                  <c:v>150</c:v>
                </c:pt>
                <c:pt idx="88">
                  <c:v>152</c:v>
                </c:pt>
                <c:pt idx="89">
                  <c:v>143</c:v>
                </c:pt>
                <c:pt idx="90">
                  <c:v>145.5</c:v>
                </c:pt>
                <c:pt idx="91">
                  <c:v>148.5</c:v>
                </c:pt>
                <c:pt idx="92">
                  <c:v>151.5</c:v>
                </c:pt>
                <c:pt idx="93">
                  <c:v>142</c:v>
                </c:pt>
                <c:pt idx="94">
                  <c:v>149</c:v>
                </c:pt>
                <c:pt idx="95">
                  <c:v>153</c:v>
                </c:pt>
                <c:pt idx="96">
                  <c:v>146.5</c:v>
                </c:pt>
                <c:pt idx="97">
                  <c:v>151.5</c:v>
                </c:pt>
                <c:pt idx="98">
                  <c:v>149</c:v>
                </c:pt>
                <c:pt idx="99">
                  <c:v>141.5</c:v>
                </c:pt>
                <c:pt idx="100">
                  <c:v>148.5</c:v>
                </c:pt>
                <c:pt idx="101">
                  <c:v>143.5</c:v>
                </c:pt>
                <c:pt idx="102">
                  <c:v>147.5</c:v>
                </c:pt>
                <c:pt idx="103">
                  <c:v>140.5</c:v>
                </c:pt>
                <c:pt idx="104">
                  <c:v>143</c:v>
                </c:pt>
                <c:pt idx="105">
                  <c:v>147</c:v>
                </c:pt>
                <c:pt idx="106">
                  <c:v>144</c:v>
                </c:pt>
                <c:pt idx="107">
                  <c:v>147</c:v>
                </c:pt>
                <c:pt idx="108">
                  <c:v>143</c:v>
                </c:pt>
                <c:pt idx="109">
                  <c:v>143.5</c:v>
                </c:pt>
                <c:pt idx="110">
                  <c:v>146.5</c:v>
                </c:pt>
                <c:pt idx="111">
                  <c:v>140</c:v>
                </c:pt>
                <c:pt idx="112">
                  <c:v>139.5</c:v>
                </c:pt>
                <c:pt idx="113">
                  <c:v>136</c:v>
                </c:pt>
                <c:pt idx="114">
                  <c:v>147.5</c:v>
                </c:pt>
                <c:pt idx="115">
                  <c:v>141.5</c:v>
                </c:pt>
                <c:pt idx="116">
                  <c:v>146</c:v>
                </c:pt>
                <c:pt idx="117">
                  <c:v>136</c:v>
                </c:pt>
                <c:pt idx="118">
                  <c:v>138.5</c:v>
                </c:pt>
                <c:pt idx="119">
                  <c:v>148.5</c:v>
                </c:pt>
              </c:numCache>
            </c:numRef>
          </c:xVal>
          <c:yVal>
            <c:numRef>
              <c:f>ANCOVA!$L$199:$L$318</c:f>
              <c:numCache>
                <c:formatCode>General</c:formatCode>
                <c:ptCount val="120"/>
                <c:pt idx="0">
                  <c:v>151.5</c:v>
                </c:pt>
                <c:pt idx="1">
                  <c:v>145.5</c:v>
                </c:pt>
                <c:pt idx="2">
                  <c:v>134.5</c:v>
                </c:pt>
                <c:pt idx="3">
                  <c:v>134</c:v>
                </c:pt>
                <c:pt idx="4">
                  <c:v>137</c:v>
                </c:pt>
                <c:pt idx="5">
                  <c:v>140</c:v>
                </c:pt>
                <c:pt idx="6">
                  <c:v>130</c:v>
                </c:pt>
                <c:pt idx="7">
                  <c:v>145.5</c:v>
                </c:pt>
                <c:pt idx="8">
                  <c:v>126</c:v>
                </c:pt>
                <c:pt idx="9">
                  <c:v>146.5</c:v>
                </c:pt>
                <c:pt idx="10">
                  <c:v>140</c:v>
                </c:pt>
                <c:pt idx="11">
                  <c:v>140.5</c:v>
                </c:pt>
                <c:pt idx="12">
                  <c:v>138</c:v>
                </c:pt>
                <c:pt idx="13">
                  <c:v>133.5</c:v>
                </c:pt>
                <c:pt idx="14">
                  <c:v>137</c:v>
                </c:pt>
                <c:pt idx="15">
                  <c:v>133.5</c:v>
                </c:pt>
                <c:pt idx="16">
                  <c:v>142</c:v>
                </c:pt>
                <c:pt idx="17">
                  <c:v>138.5</c:v>
                </c:pt>
                <c:pt idx="18">
                  <c:v>140.5</c:v>
                </c:pt>
                <c:pt idx="19">
                  <c:v>131</c:v>
                </c:pt>
                <c:pt idx="20">
                  <c:v>135</c:v>
                </c:pt>
                <c:pt idx="21">
                  <c:v>133.5</c:v>
                </c:pt>
                <c:pt idx="22">
                  <c:v>131.5</c:v>
                </c:pt>
                <c:pt idx="23">
                  <c:v>143</c:v>
                </c:pt>
                <c:pt idx="24">
                  <c:v>141.5</c:v>
                </c:pt>
                <c:pt idx="25">
                  <c:v>138.5</c:v>
                </c:pt>
                <c:pt idx="26">
                  <c:v>134.5</c:v>
                </c:pt>
                <c:pt idx="27">
                  <c:v>136</c:v>
                </c:pt>
                <c:pt idx="28">
                  <c:v>124.5</c:v>
                </c:pt>
                <c:pt idx="29">
                  <c:v>137.5</c:v>
                </c:pt>
                <c:pt idx="30">
                  <c:v>133</c:v>
                </c:pt>
                <c:pt idx="31">
                  <c:v>135</c:v>
                </c:pt>
                <c:pt idx="32">
                  <c:v>132</c:v>
                </c:pt>
                <c:pt idx="33">
                  <c:v>137</c:v>
                </c:pt>
                <c:pt idx="34">
                  <c:v>133</c:v>
                </c:pt>
                <c:pt idx="35">
                  <c:v>132.5</c:v>
                </c:pt>
                <c:pt idx="36">
                  <c:v>137.5</c:v>
                </c:pt>
                <c:pt idx="37">
                  <c:v>143</c:v>
                </c:pt>
                <c:pt idx="38">
                  <c:v>129</c:v>
                </c:pt>
                <c:pt idx="39">
                  <c:v>132</c:v>
                </c:pt>
                <c:pt idx="40">
                  <c:v>139</c:v>
                </c:pt>
                <c:pt idx="41">
                  <c:v>142.5</c:v>
                </c:pt>
                <c:pt idx="42">
                  <c:v>142</c:v>
                </c:pt>
                <c:pt idx="43">
                  <c:v>127</c:v>
                </c:pt>
                <c:pt idx="44">
                  <c:v>143.5</c:v>
                </c:pt>
                <c:pt idx="45">
                  <c:v>143.5</c:v>
                </c:pt>
                <c:pt idx="46">
                  <c:v>136</c:v>
                </c:pt>
                <c:pt idx="47">
                  <c:v>133</c:v>
                </c:pt>
                <c:pt idx="48">
                  <c:v>130.5</c:v>
                </c:pt>
                <c:pt idx="49">
                  <c:v>132.5</c:v>
                </c:pt>
                <c:pt idx="50">
                  <c:v>141</c:v>
                </c:pt>
                <c:pt idx="51">
                  <c:v>133.5</c:v>
                </c:pt>
                <c:pt idx="52">
                  <c:v>131</c:v>
                </c:pt>
                <c:pt idx="53">
                  <c:v>134</c:v>
                </c:pt>
                <c:pt idx="54">
                  <c:v>150</c:v>
                </c:pt>
                <c:pt idx="55">
                  <c:v>132.5</c:v>
                </c:pt>
                <c:pt idx="56">
                  <c:v>132.5</c:v>
                </c:pt>
                <c:pt idx="57">
                  <c:v>143</c:v>
                </c:pt>
                <c:pt idx="58">
                  <c:v>137.5</c:v>
                </c:pt>
                <c:pt idx="59">
                  <c:v>126.5</c:v>
                </c:pt>
                <c:pt idx="60">
                  <c:v>136</c:v>
                </c:pt>
                <c:pt idx="61">
                  <c:v>140.5</c:v>
                </c:pt>
                <c:pt idx="62">
                  <c:v>134.5</c:v>
                </c:pt>
                <c:pt idx="63">
                  <c:v>137.5</c:v>
                </c:pt>
                <c:pt idx="64">
                  <c:v>124</c:v>
                </c:pt>
                <c:pt idx="65">
                  <c:v>126.5</c:v>
                </c:pt>
                <c:pt idx="66">
                  <c:v>130.5</c:v>
                </c:pt>
                <c:pt idx="67">
                  <c:v>139.5</c:v>
                </c:pt>
                <c:pt idx="68">
                  <c:v>128.5</c:v>
                </c:pt>
                <c:pt idx="69">
                  <c:v>132</c:v>
                </c:pt>
                <c:pt idx="70">
                  <c:v>133.5</c:v>
                </c:pt>
                <c:pt idx="71">
                  <c:v>139</c:v>
                </c:pt>
                <c:pt idx="72">
                  <c:v>123</c:v>
                </c:pt>
                <c:pt idx="73">
                  <c:v>132</c:v>
                </c:pt>
                <c:pt idx="74">
                  <c:v>129.5</c:v>
                </c:pt>
                <c:pt idx="75">
                  <c:v>134.5</c:v>
                </c:pt>
                <c:pt idx="76">
                  <c:v>131</c:v>
                </c:pt>
                <c:pt idx="77">
                  <c:v>139.5</c:v>
                </c:pt>
                <c:pt idx="78">
                  <c:v>134.5</c:v>
                </c:pt>
                <c:pt idx="79">
                  <c:v>131.5</c:v>
                </c:pt>
                <c:pt idx="80">
                  <c:v>138.5</c:v>
                </c:pt>
                <c:pt idx="81">
                  <c:v>133</c:v>
                </c:pt>
                <c:pt idx="82">
                  <c:v>131</c:v>
                </c:pt>
                <c:pt idx="83">
                  <c:v>134.5</c:v>
                </c:pt>
                <c:pt idx="84">
                  <c:v>132</c:v>
                </c:pt>
                <c:pt idx="85">
                  <c:v>127</c:v>
                </c:pt>
                <c:pt idx="86">
                  <c:v>133.5</c:v>
                </c:pt>
                <c:pt idx="87">
                  <c:v>139.5</c:v>
                </c:pt>
                <c:pt idx="88">
                  <c:v>132</c:v>
                </c:pt>
                <c:pt idx="89">
                  <c:v>128.5</c:v>
                </c:pt>
                <c:pt idx="90">
                  <c:v>131</c:v>
                </c:pt>
                <c:pt idx="91">
                  <c:v>130</c:v>
                </c:pt>
                <c:pt idx="92">
                  <c:v>120</c:v>
                </c:pt>
                <c:pt idx="93">
                  <c:v>125</c:v>
                </c:pt>
                <c:pt idx="94">
                  <c:v>130.5</c:v>
                </c:pt>
                <c:pt idx="95">
                  <c:v>136</c:v>
                </c:pt>
                <c:pt idx="96">
                  <c:v>132.5</c:v>
                </c:pt>
                <c:pt idx="97">
                  <c:v>124</c:v>
                </c:pt>
                <c:pt idx="98">
                  <c:v>128</c:v>
                </c:pt>
                <c:pt idx="99">
                  <c:v>124</c:v>
                </c:pt>
                <c:pt idx="100">
                  <c:v>131.5</c:v>
                </c:pt>
                <c:pt idx="101">
                  <c:v>129.5</c:v>
                </c:pt>
                <c:pt idx="102">
                  <c:v>132</c:v>
                </c:pt>
                <c:pt idx="103">
                  <c:v>136</c:v>
                </c:pt>
                <c:pt idx="104">
                  <c:v>124.5</c:v>
                </c:pt>
                <c:pt idx="105">
                  <c:v>120.5</c:v>
                </c:pt>
                <c:pt idx="106">
                  <c:v>129.5</c:v>
                </c:pt>
                <c:pt idx="107">
                  <c:v>133.5</c:v>
                </c:pt>
                <c:pt idx="108">
                  <c:v>127.5</c:v>
                </c:pt>
                <c:pt idx="109">
                  <c:v>123</c:v>
                </c:pt>
                <c:pt idx="110">
                  <c:v>124</c:v>
                </c:pt>
                <c:pt idx="111">
                  <c:v>124</c:v>
                </c:pt>
                <c:pt idx="112">
                  <c:v>120.5</c:v>
                </c:pt>
                <c:pt idx="113">
                  <c:v>127</c:v>
                </c:pt>
                <c:pt idx="114">
                  <c:v>129</c:v>
                </c:pt>
                <c:pt idx="115">
                  <c:v>128.5</c:v>
                </c:pt>
                <c:pt idx="116">
                  <c:v>128</c:v>
                </c:pt>
                <c:pt idx="117">
                  <c:v>128.5</c:v>
                </c:pt>
                <c:pt idx="118">
                  <c:v>133.5</c:v>
                </c:pt>
                <c:pt idx="119">
                  <c:v>126.5</c:v>
                </c:pt>
              </c:numCache>
            </c:numRef>
          </c:yVal>
          <c:smooth val="0"/>
          <c:extLst>
            <c:ext xmlns:c16="http://schemas.microsoft.com/office/drawing/2014/chart" uri="{C3380CC4-5D6E-409C-BE32-E72D297353CC}">
              <c16:uniqueId val="{00000000-7945-43A0-85EF-4D0ADF1B4532}"/>
            </c:ext>
          </c:extLst>
        </c:ser>
        <c:dLbls>
          <c:showLegendKey val="0"/>
          <c:showVal val="0"/>
          <c:showCatName val="0"/>
          <c:showSerName val="0"/>
          <c:showPercent val="0"/>
          <c:showBubbleSize val="0"/>
        </c:dLbls>
        <c:axId val="542948640"/>
        <c:axId val="542956800"/>
      </c:scatterChart>
      <c:valAx>
        <c:axId val="5429486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Pre Systolic BP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956800"/>
        <c:crosses val="autoZero"/>
        <c:crossBetween val="midCat"/>
      </c:valAx>
      <c:valAx>
        <c:axId val="54295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Post Systolic BP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9486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Pre Diastolic and Post Diastolic Means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ANCOVA!$AC$19</c:f>
              <c:strCache>
                <c:ptCount val="1"/>
                <c:pt idx="0">
                  <c:v>predias</c:v>
                </c:pt>
              </c:strCache>
            </c:strRef>
          </c:tx>
          <c:spPr>
            <a:solidFill>
              <a:schemeClr val="accent1"/>
            </a:solidFill>
            <a:ln>
              <a:noFill/>
            </a:ln>
            <a:effectLst/>
          </c:spPr>
          <c:invertIfNegative val="0"/>
          <c:cat>
            <c:strRef>
              <c:f>ANCOVA!$AD$18:$AG$18</c:f>
              <c:strCache>
                <c:ptCount val="4"/>
                <c:pt idx="0">
                  <c:v>New Medicine</c:v>
                </c:pt>
                <c:pt idx="1">
                  <c:v>None</c:v>
                </c:pt>
                <c:pt idx="2">
                  <c:v>Old Medicine</c:v>
                </c:pt>
                <c:pt idx="3">
                  <c:v>Placebo</c:v>
                </c:pt>
              </c:strCache>
            </c:strRef>
          </c:cat>
          <c:val>
            <c:numRef>
              <c:f>ANCOVA!$AD$19:$AG$19</c:f>
              <c:numCache>
                <c:formatCode>0.00</c:formatCode>
                <c:ptCount val="4"/>
                <c:pt idx="0">
                  <c:v>102.125</c:v>
                </c:pt>
                <c:pt idx="1">
                  <c:v>99.433333333333337</c:v>
                </c:pt>
                <c:pt idx="2">
                  <c:v>101.175</c:v>
                </c:pt>
                <c:pt idx="3">
                  <c:v>100.825</c:v>
                </c:pt>
              </c:numCache>
            </c:numRef>
          </c:val>
          <c:extLst>
            <c:ext xmlns:c16="http://schemas.microsoft.com/office/drawing/2014/chart" uri="{C3380CC4-5D6E-409C-BE32-E72D297353CC}">
              <c16:uniqueId val="{00000000-31F9-471A-AC12-3CF1400470F4}"/>
            </c:ext>
          </c:extLst>
        </c:ser>
        <c:ser>
          <c:idx val="1"/>
          <c:order val="1"/>
          <c:tx>
            <c:strRef>
              <c:f>ANCOVA!$AC$20</c:f>
              <c:strCache>
                <c:ptCount val="1"/>
                <c:pt idx="0">
                  <c:v>postdias</c:v>
                </c:pt>
              </c:strCache>
            </c:strRef>
          </c:tx>
          <c:spPr>
            <a:solidFill>
              <a:schemeClr val="accent2"/>
            </a:solidFill>
            <a:ln>
              <a:noFill/>
            </a:ln>
            <a:effectLst/>
          </c:spPr>
          <c:invertIfNegative val="0"/>
          <c:cat>
            <c:strRef>
              <c:f>ANCOVA!$AD$18:$AG$18</c:f>
              <c:strCache>
                <c:ptCount val="4"/>
                <c:pt idx="0">
                  <c:v>New Medicine</c:v>
                </c:pt>
                <c:pt idx="1">
                  <c:v>None</c:v>
                </c:pt>
                <c:pt idx="2">
                  <c:v>Old Medicine</c:v>
                </c:pt>
                <c:pt idx="3">
                  <c:v>Placebo</c:v>
                </c:pt>
              </c:strCache>
            </c:strRef>
          </c:cat>
          <c:val>
            <c:numRef>
              <c:f>ANCOVA!$AD$20:$AG$20</c:f>
              <c:numCache>
                <c:formatCode>0.00</c:formatCode>
                <c:ptCount val="4"/>
                <c:pt idx="0">
                  <c:v>94.3</c:v>
                </c:pt>
                <c:pt idx="1">
                  <c:v>95.141666666666666</c:v>
                </c:pt>
                <c:pt idx="2">
                  <c:v>92.825000000000003</c:v>
                </c:pt>
                <c:pt idx="3">
                  <c:v>93.775000000000006</c:v>
                </c:pt>
              </c:numCache>
            </c:numRef>
          </c:val>
          <c:extLst>
            <c:ext xmlns:c16="http://schemas.microsoft.com/office/drawing/2014/chart" uri="{C3380CC4-5D6E-409C-BE32-E72D297353CC}">
              <c16:uniqueId val="{00000001-31F9-471A-AC12-3CF1400470F4}"/>
            </c:ext>
          </c:extLst>
        </c:ser>
        <c:dLbls>
          <c:showLegendKey val="0"/>
          <c:showVal val="0"/>
          <c:showCatName val="0"/>
          <c:showSerName val="0"/>
          <c:showPercent val="0"/>
          <c:showBubbleSize val="0"/>
        </c:dLbls>
        <c:gapWidth val="182"/>
        <c:axId val="163696592"/>
        <c:axId val="163694672"/>
      </c:barChart>
      <c:catAx>
        <c:axId val="16369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4672"/>
        <c:crosses val="autoZero"/>
        <c:auto val="1"/>
        <c:lblAlgn val="ctr"/>
        <c:lblOffset val="100"/>
        <c:noMultiLvlLbl val="0"/>
      </c:catAx>
      <c:valAx>
        <c:axId val="1636946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6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Pre Systolic and Post Systolic Means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ANCOVA!$AC$39</c:f>
              <c:strCache>
                <c:ptCount val="1"/>
                <c:pt idx="0">
                  <c:v>presys</c:v>
                </c:pt>
              </c:strCache>
            </c:strRef>
          </c:tx>
          <c:spPr>
            <a:solidFill>
              <a:schemeClr val="accent1"/>
            </a:solidFill>
            <a:ln>
              <a:noFill/>
            </a:ln>
            <a:effectLst/>
          </c:spPr>
          <c:invertIfNegative val="0"/>
          <c:cat>
            <c:strRef>
              <c:f>ANCOVA!$AD$38:$AG$38</c:f>
              <c:strCache>
                <c:ptCount val="4"/>
                <c:pt idx="0">
                  <c:v>New Medicine</c:v>
                </c:pt>
                <c:pt idx="1">
                  <c:v>None</c:v>
                </c:pt>
                <c:pt idx="2">
                  <c:v>Old Medicine</c:v>
                </c:pt>
                <c:pt idx="3">
                  <c:v>Placebo</c:v>
                </c:pt>
              </c:strCache>
            </c:strRef>
          </c:cat>
          <c:val>
            <c:numRef>
              <c:f>ANCOVA!$AD$39:$AG$39</c:f>
              <c:numCache>
                <c:formatCode>0.00</c:formatCode>
                <c:ptCount val="4"/>
                <c:pt idx="0">
                  <c:v>152.75</c:v>
                </c:pt>
                <c:pt idx="1">
                  <c:v>149.59166666666667</c:v>
                </c:pt>
                <c:pt idx="2">
                  <c:v>152.22499999999999</c:v>
                </c:pt>
                <c:pt idx="3">
                  <c:v>151.57499999999999</c:v>
                </c:pt>
              </c:numCache>
            </c:numRef>
          </c:val>
          <c:extLst>
            <c:ext xmlns:c16="http://schemas.microsoft.com/office/drawing/2014/chart" uri="{C3380CC4-5D6E-409C-BE32-E72D297353CC}">
              <c16:uniqueId val="{00000000-66AA-405C-A6F9-4F5BFE099DAA}"/>
            </c:ext>
          </c:extLst>
        </c:ser>
        <c:ser>
          <c:idx val="1"/>
          <c:order val="1"/>
          <c:tx>
            <c:strRef>
              <c:f>ANCOVA!$AC$40</c:f>
              <c:strCache>
                <c:ptCount val="1"/>
                <c:pt idx="0">
                  <c:v>postsys</c:v>
                </c:pt>
              </c:strCache>
            </c:strRef>
          </c:tx>
          <c:spPr>
            <a:solidFill>
              <a:schemeClr val="accent2"/>
            </a:solidFill>
            <a:ln>
              <a:noFill/>
            </a:ln>
            <a:effectLst/>
          </c:spPr>
          <c:invertIfNegative val="0"/>
          <c:cat>
            <c:strRef>
              <c:f>ANCOVA!$AD$38:$AG$38</c:f>
              <c:strCache>
                <c:ptCount val="4"/>
                <c:pt idx="0">
                  <c:v>New Medicine</c:v>
                </c:pt>
                <c:pt idx="1">
                  <c:v>None</c:v>
                </c:pt>
                <c:pt idx="2">
                  <c:v>Old Medicine</c:v>
                </c:pt>
                <c:pt idx="3">
                  <c:v>Placebo</c:v>
                </c:pt>
              </c:strCache>
            </c:strRef>
          </c:cat>
          <c:val>
            <c:numRef>
              <c:f>ANCOVA!$AD$40:$AG$40</c:f>
              <c:numCache>
                <c:formatCode>0.00</c:formatCode>
                <c:ptCount val="4"/>
                <c:pt idx="0">
                  <c:v>132.67500000000001</c:v>
                </c:pt>
                <c:pt idx="1">
                  <c:v>134.33000000000001</c:v>
                </c:pt>
                <c:pt idx="2">
                  <c:v>132.92500000000001</c:v>
                </c:pt>
                <c:pt idx="3">
                  <c:v>132.42500000000001</c:v>
                </c:pt>
              </c:numCache>
            </c:numRef>
          </c:val>
          <c:extLst>
            <c:ext xmlns:c16="http://schemas.microsoft.com/office/drawing/2014/chart" uri="{C3380CC4-5D6E-409C-BE32-E72D297353CC}">
              <c16:uniqueId val="{00000001-66AA-405C-A6F9-4F5BFE099DAA}"/>
            </c:ext>
          </c:extLst>
        </c:ser>
        <c:dLbls>
          <c:showLegendKey val="0"/>
          <c:showVal val="0"/>
          <c:showCatName val="0"/>
          <c:showSerName val="0"/>
          <c:showPercent val="0"/>
          <c:showBubbleSize val="0"/>
        </c:dLbls>
        <c:gapWidth val="182"/>
        <c:axId val="163735472"/>
        <c:axId val="163726832"/>
      </c:barChart>
      <c:catAx>
        <c:axId val="16373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6832"/>
        <c:crosses val="autoZero"/>
        <c:auto val="1"/>
        <c:lblAlgn val="ctr"/>
        <c:lblOffset val="100"/>
        <c:noMultiLvlLbl val="0"/>
      </c:catAx>
      <c:valAx>
        <c:axId val="1637268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5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PH"/>
              <a:t>predias  Residual Plot</a:t>
            </a:r>
          </a:p>
        </c:rich>
      </c:tx>
      <c:overlay val="0"/>
    </c:title>
    <c:autoTitleDeleted val="0"/>
    <c:plotArea>
      <c:layout>
        <c:manualLayout>
          <c:layoutTarget val="inner"/>
          <c:xMode val="edge"/>
          <c:yMode val="edge"/>
          <c:x val="2.8770883262089778E-2"/>
          <c:y val="0.42625574707834918"/>
          <c:w val="0.91806201263002984"/>
          <c:h val="0.53190698005844106"/>
        </c:manualLayout>
      </c:layout>
      <c:scatterChart>
        <c:scatterStyle val="lineMarker"/>
        <c:varyColors val="0"/>
        <c:ser>
          <c:idx val="0"/>
          <c:order val="0"/>
          <c:spPr>
            <a:ln w="38100">
              <a:noFill/>
            </a:ln>
          </c:spPr>
          <c:xVal>
            <c:numRef>
              <c:f>ANCOVA!$K$53:$K$172</c:f>
              <c:numCache>
                <c:formatCode>General</c:formatCode>
                <c:ptCount val="120"/>
                <c:pt idx="0">
                  <c:v>113</c:v>
                </c:pt>
                <c:pt idx="1">
                  <c:v>113.5</c:v>
                </c:pt>
                <c:pt idx="2">
                  <c:v>102</c:v>
                </c:pt>
                <c:pt idx="3">
                  <c:v>108.5</c:v>
                </c:pt>
                <c:pt idx="4">
                  <c:v>106</c:v>
                </c:pt>
                <c:pt idx="5">
                  <c:v>109</c:v>
                </c:pt>
                <c:pt idx="6">
                  <c:v>101</c:v>
                </c:pt>
                <c:pt idx="7">
                  <c:v>109.5</c:v>
                </c:pt>
                <c:pt idx="8">
                  <c:v>104</c:v>
                </c:pt>
                <c:pt idx="9">
                  <c:v>103.5</c:v>
                </c:pt>
                <c:pt idx="10">
                  <c:v>108</c:v>
                </c:pt>
                <c:pt idx="11">
                  <c:v>103</c:v>
                </c:pt>
                <c:pt idx="12">
                  <c:v>104</c:v>
                </c:pt>
                <c:pt idx="13">
                  <c:v>104.5</c:v>
                </c:pt>
                <c:pt idx="14">
                  <c:v>101</c:v>
                </c:pt>
                <c:pt idx="15">
                  <c:v>105.5</c:v>
                </c:pt>
                <c:pt idx="16">
                  <c:v>105.5</c:v>
                </c:pt>
                <c:pt idx="17">
                  <c:v>105</c:v>
                </c:pt>
                <c:pt idx="18">
                  <c:v>106</c:v>
                </c:pt>
                <c:pt idx="19">
                  <c:v>104.5</c:v>
                </c:pt>
                <c:pt idx="20">
                  <c:v>102</c:v>
                </c:pt>
                <c:pt idx="21">
                  <c:v>102.5</c:v>
                </c:pt>
                <c:pt idx="22">
                  <c:v>98</c:v>
                </c:pt>
                <c:pt idx="23">
                  <c:v>109.5</c:v>
                </c:pt>
                <c:pt idx="24">
                  <c:v>105</c:v>
                </c:pt>
                <c:pt idx="25">
                  <c:v>106.5</c:v>
                </c:pt>
                <c:pt idx="26">
                  <c:v>102.5</c:v>
                </c:pt>
                <c:pt idx="27">
                  <c:v>105.5</c:v>
                </c:pt>
                <c:pt idx="28">
                  <c:v>95.5</c:v>
                </c:pt>
                <c:pt idx="29">
                  <c:v>102.5</c:v>
                </c:pt>
                <c:pt idx="30">
                  <c:v>102.5</c:v>
                </c:pt>
                <c:pt idx="31">
                  <c:v>106</c:v>
                </c:pt>
                <c:pt idx="32">
                  <c:v>97.5</c:v>
                </c:pt>
                <c:pt idx="33">
                  <c:v>102</c:v>
                </c:pt>
                <c:pt idx="34">
                  <c:v>103</c:v>
                </c:pt>
                <c:pt idx="35">
                  <c:v>104.5</c:v>
                </c:pt>
                <c:pt idx="36">
                  <c:v>112</c:v>
                </c:pt>
                <c:pt idx="37">
                  <c:v>104</c:v>
                </c:pt>
                <c:pt idx="38">
                  <c:v>104</c:v>
                </c:pt>
                <c:pt idx="39">
                  <c:v>100.5</c:v>
                </c:pt>
                <c:pt idx="40">
                  <c:v>103</c:v>
                </c:pt>
                <c:pt idx="41">
                  <c:v>101.5</c:v>
                </c:pt>
                <c:pt idx="42">
                  <c:v>108.5</c:v>
                </c:pt>
                <c:pt idx="43">
                  <c:v>100.5</c:v>
                </c:pt>
                <c:pt idx="44">
                  <c:v>101</c:v>
                </c:pt>
                <c:pt idx="45">
                  <c:v>111.5</c:v>
                </c:pt>
                <c:pt idx="46">
                  <c:v>95</c:v>
                </c:pt>
                <c:pt idx="47">
                  <c:v>101.5</c:v>
                </c:pt>
                <c:pt idx="48">
                  <c:v>103.5</c:v>
                </c:pt>
                <c:pt idx="49">
                  <c:v>101</c:v>
                </c:pt>
                <c:pt idx="50">
                  <c:v>105.5</c:v>
                </c:pt>
                <c:pt idx="51">
                  <c:v>97</c:v>
                </c:pt>
                <c:pt idx="52">
                  <c:v>96.5</c:v>
                </c:pt>
                <c:pt idx="53">
                  <c:v>99</c:v>
                </c:pt>
                <c:pt idx="54">
                  <c:v>103.5</c:v>
                </c:pt>
                <c:pt idx="55">
                  <c:v>100</c:v>
                </c:pt>
                <c:pt idx="56">
                  <c:v>100</c:v>
                </c:pt>
                <c:pt idx="57">
                  <c:v>98</c:v>
                </c:pt>
                <c:pt idx="58">
                  <c:v>101</c:v>
                </c:pt>
                <c:pt idx="59">
                  <c:v>101</c:v>
                </c:pt>
                <c:pt idx="60">
                  <c:v>103.5</c:v>
                </c:pt>
                <c:pt idx="61">
                  <c:v>103</c:v>
                </c:pt>
                <c:pt idx="62">
                  <c:v>98.5</c:v>
                </c:pt>
                <c:pt idx="63">
                  <c:v>104</c:v>
                </c:pt>
                <c:pt idx="64">
                  <c:v>98.5</c:v>
                </c:pt>
                <c:pt idx="65">
                  <c:v>98.5</c:v>
                </c:pt>
                <c:pt idx="66">
                  <c:v>100.5</c:v>
                </c:pt>
                <c:pt idx="67">
                  <c:v>100</c:v>
                </c:pt>
                <c:pt idx="68">
                  <c:v>98</c:v>
                </c:pt>
                <c:pt idx="69">
                  <c:v>96.5</c:v>
                </c:pt>
                <c:pt idx="70">
                  <c:v>99.5</c:v>
                </c:pt>
                <c:pt idx="71">
                  <c:v>99</c:v>
                </c:pt>
                <c:pt idx="72">
                  <c:v>104</c:v>
                </c:pt>
                <c:pt idx="73">
                  <c:v>101</c:v>
                </c:pt>
                <c:pt idx="74">
                  <c:v>100.5</c:v>
                </c:pt>
                <c:pt idx="75">
                  <c:v>100</c:v>
                </c:pt>
                <c:pt idx="76">
                  <c:v>99</c:v>
                </c:pt>
                <c:pt idx="77">
                  <c:v>104</c:v>
                </c:pt>
                <c:pt idx="78">
                  <c:v>103</c:v>
                </c:pt>
                <c:pt idx="79">
                  <c:v>102.5</c:v>
                </c:pt>
                <c:pt idx="80">
                  <c:v>95.5</c:v>
                </c:pt>
                <c:pt idx="81">
                  <c:v>97.5</c:v>
                </c:pt>
                <c:pt idx="82">
                  <c:v>97.5</c:v>
                </c:pt>
                <c:pt idx="83">
                  <c:v>96</c:v>
                </c:pt>
                <c:pt idx="84">
                  <c:v>104.5</c:v>
                </c:pt>
                <c:pt idx="85">
                  <c:v>95.5</c:v>
                </c:pt>
                <c:pt idx="86">
                  <c:v>92.5</c:v>
                </c:pt>
                <c:pt idx="87">
                  <c:v>102.5</c:v>
                </c:pt>
                <c:pt idx="88">
                  <c:v>102</c:v>
                </c:pt>
                <c:pt idx="89">
                  <c:v>91</c:v>
                </c:pt>
                <c:pt idx="90">
                  <c:v>95.5</c:v>
                </c:pt>
                <c:pt idx="91">
                  <c:v>98.5</c:v>
                </c:pt>
                <c:pt idx="92">
                  <c:v>100</c:v>
                </c:pt>
                <c:pt idx="93">
                  <c:v>91.5</c:v>
                </c:pt>
                <c:pt idx="94">
                  <c:v>96.5</c:v>
                </c:pt>
                <c:pt idx="95">
                  <c:v>102</c:v>
                </c:pt>
                <c:pt idx="96">
                  <c:v>96</c:v>
                </c:pt>
                <c:pt idx="97">
                  <c:v>96.5</c:v>
                </c:pt>
                <c:pt idx="98">
                  <c:v>96</c:v>
                </c:pt>
                <c:pt idx="99">
                  <c:v>91.5</c:v>
                </c:pt>
                <c:pt idx="100">
                  <c:v>95</c:v>
                </c:pt>
                <c:pt idx="101">
                  <c:v>101</c:v>
                </c:pt>
                <c:pt idx="102">
                  <c:v>90</c:v>
                </c:pt>
                <c:pt idx="103">
                  <c:v>95</c:v>
                </c:pt>
                <c:pt idx="104">
                  <c:v>94.5</c:v>
                </c:pt>
                <c:pt idx="105">
                  <c:v>100</c:v>
                </c:pt>
                <c:pt idx="106">
                  <c:v>97</c:v>
                </c:pt>
                <c:pt idx="107">
                  <c:v>96</c:v>
                </c:pt>
                <c:pt idx="108">
                  <c:v>94</c:v>
                </c:pt>
                <c:pt idx="109">
                  <c:v>91</c:v>
                </c:pt>
                <c:pt idx="110">
                  <c:v>95</c:v>
                </c:pt>
                <c:pt idx="111">
                  <c:v>96.5</c:v>
                </c:pt>
                <c:pt idx="112">
                  <c:v>92</c:v>
                </c:pt>
                <c:pt idx="113">
                  <c:v>89</c:v>
                </c:pt>
                <c:pt idx="114">
                  <c:v>96</c:v>
                </c:pt>
                <c:pt idx="115">
                  <c:v>91.5</c:v>
                </c:pt>
                <c:pt idx="116">
                  <c:v>94.5</c:v>
                </c:pt>
                <c:pt idx="117">
                  <c:v>92</c:v>
                </c:pt>
                <c:pt idx="118">
                  <c:v>93</c:v>
                </c:pt>
                <c:pt idx="119">
                  <c:v>92.5</c:v>
                </c:pt>
              </c:numCache>
            </c:numRef>
          </c:xVal>
          <c:yVal>
            <c:numRef>
              <c:f>ANCOVA!$T$76:$T$195</c:f>
              <c:numCache>
                <c:formatCode>General</c:formatCode>
                <c:ptCount val="120"/>
                <c:pt idx="0">
                  <c:v>6.5605924090550616</c:v>
                </c:pt>
                <c:pt idx="1">
                  <c:v>-5.7193377632616489</c:v>
                </c:pt>
                <c:pt idx="2">
                  <c:v>-0.78094379997747865</c:v>
                </c:pt>
                <c:pt idx="3">
                  <c:v>-3.4200360400946153</c:v>
                </c:pt>
                <c:pt idx="4">
                  <c:v>0.97961482148889445</c:v>
                </c:pt>
                <c:pt idx="5">
                  <c:v>5.3000337875886885</c:v>
                </c:pt>
                <c:pt idx="6">
                  <c:v>-2.7210834553440719</c:v>
                </c:pt>
                <c:pt idx="7">
                  <c:v>0.52010361527197801</c:v>
                </c:pt>
                <c:pt idx="8">
                  <c:v>-0.9006644892442921</c:v>
                </c:pt>
                <c:pt idx="9">
                  <c:v>2.8792656830724184</c:v>
                </c:pt>
                <c:pt idx="10">
                  <c:v>1.859894132222081</c:v>
                </c:pt>
                <c:pt idx="11">
                  <c:v>4.6591958553891146</c:v>
                </c:pt>
                <c:pt idx="12">
                  <c:v>4.0993355107557079</c:v>
                </c:pt>
                <c:pt idx="13">
                  <c:v>2.8194053384389974</c:v>
                </c:pt>
                <c:pt idx="14">
                  <c:v>2.2789165446559281</c:v>
                </c:pt>
                <c:pt idx="15">
                  <c:v>-4.2404550061943951</c:v>
                </c:pt>
                <c:pt idx="16">
                  <c:v>2.2595449938056049</c:v>
                </c:pt>
                <c:pt idx="17">
                  <c:v>3.5394751661223012</c:v>
                </c:pt>
                <c:pt idx="18">
                  <c:v>-2.0203851785111056</c:v>
                </c:pt>
                <c:pt idx="19">
                  <c:v>1.8194053384389974</c:v>
                </c:pt>
                <c:pt idx="20">
                  <c:v>3.7190562000225214</c:v>
                </c:pt>
                <c:pt idx="21">
                  <c:v>-6.0873972294189116E-2</c:v>
                </c:pt>
                <c:pt idx="22">
                  <c:v>-1.5415024214438517</c:v>
                </c:pt>
                <c:pt idx="23">
                  <c:v>2.520103615271978</c:v>
                </c:pt>
                <c:pt idx="24">
                  <c:v>2.0394751661223012</c:v>
                </c:pt>
                <c:pt idx="25">
                  <c:v>2.6996846491721982</c:v>
                </c:pt>
                <c:pt idx="26">
                  <c:v>0.93912602770581088</c:v>
                </c:pt>
                <c:pt idx="27">
                  <c:v>-3.2404550061943951</c:v>
                </c:pt>
                <c:pt idx="28">
                  <c:v>-5.1418515598603562</c:v>
                </c:pt>
                <c:pt idx="29">
                  <c:v>0.43912602770581088</c:v>
                </c:pt>
                <c:pt idx="30">
                  <c:v>-4.5608739722941891</c:v>
                </c:pt>
                <c:pt idx="31">
                  <c:v>-4.0203851785111056</c:v>
                </c:pt>
                <c:pt idx="32">
                  <c:v>-4.2615722491271555</c:v>
                </c:pt>
                <c:pt idx="33">
                  <c:v>-3.7809437999774786</c:v>
                </c:pt>
                <c:pt idx="34">
                  <c:v>-1.3408041446108854</c:v>
                </c:pt>
                <c:pt idx="35">
                  <c:v>-0.68059466156100257</c:v>
                </c:pt>
                <c:pt idx="36">
                  <c:v>-3.8795472463115317</c:v>
                </c:pt>
                <c:pt idx="37">
                  <c:v>5.0993355107557079</c:v>
                </c:pt>
                <c:pt idx="38">
                  <c:v>-2.9006644892442921</c:v>
                </c:pt>
                <c:pt idx="39">
                  <c:v>3.0588467169726243</c:v>
                </c:pt>
                <c:pt idx="40">
                  <c:v>3.6591958553891146</c:v>
                </c:pt>
                <c:pt idx="41">
                  <c:v>4.4989863723392318</c:v>
                </c:pt>
                <c:pt idx="42">
                  <c:v>7.9963959905384741E-2</c:v>
                </c:pt>
                <c:pt idx="43">
                  <c:v>-2.4411532830273757</c:v>
                </c:pt>
                <c:pt idx="44">
                  <c:v>2.2789165446559281</c:v>
                </c:pt>
                <c:pt idx="45">
                  <c:v>0.40038292600516456</c:v>
                </c:pt>
                <c:pt idx="46">
                  <c:v>-1.8619213875436458</c:v>
                </c:pt>
                <c:pt idx="47">
                  <c:v>1.4989863723392318</c:v>
                </c:pt>
                <c:pt idx="48">
                  <c:v>-4.6207343169275816</c:v>
                </c:pt>
                <c:pt idx="49">
                  <c:v>0.27891654465592808</c:v>
                </c:pt>
                <c:pt idx="50">
                  <c:v>-1.7404550061943951</c:v>
                </c:pt>
                <c:pt idx="51">
                  <c:v>1.0183579231895408</c:v>
                </c:pt>
                <c:pt idx="52">
                  <c:v>2.7982880955062512</c:v>
                </c:pt>
                <c:pt idx="53">
                  <c:v>-0.60136276607727268</c:v>
                </c:pt>
                <c:pt idx="54">
                  <c:v>0.37926568307241837</c:v>
                </c:pt>
                <c:pt idx="55">
                  <c:v>5.8387768892893348</c:v>
                </c:pt>
                <c:pt idx="56">
                  <c:v>-4.6612231107106652</c:v>
                </c:pt>
                <c:pt idx="57">
                  <c:v>5.9584975785561483</c:v>
                </c:pt>
                <c:pt idx="58">
                  <c:v>-0.22108345534407192</c:v>
                </c:pt>
                <c:pt idx="59">
                  <c:v>-2.7210834553440719</c:v>
                </c:pt>
                <c:pt idx="60">
                  <c:v>-2.1207343169275816</c:v>
                </c:pt>
                <c:pt idx="61">
                  <c:v>5.6591958553891146</c:v>
                </c:pt>
                <c:pt idx="62">
                  <c:v>-1.3214325937605622</c:v>
                </c:pt>
                <c:pt idx="63">
                  <c:v>1.0993355107557079</c:v>
                </c:pt>
                <c:pt idx="64">
                  <c:v>-1.3214325937605622</c:v>
                </c:pt>
                <c:pt idx="65">
                  <c:v>0.17856740623943779</c:v>
                </c:pt>
                <c:pt idx="66">
                  <c:v>-4.9411532830273757</c:v>
                </c:pt>
                <c:pt idx="67">
                  <c:v>6.3387768892893348</c:v>
                </c:pt>
                <c:pt idx="68">
                  <c:v>-4.0415024214438517</c:v>
                </c:pt>
                <c:pt idx="69">
                  <c:v>3.7982880955062512</c:v>
                </c:pt>
                <c:pt idx="70">
                  <c:v>1.1187070616060311</c:v>
                </c:pt>
                <c:pt idx="71">
                  <c:v>2.3986372339227273</c:v>
                </c:pt>
                <c:pt idx="72">
                  <c:v>-4.4006644892442921</c:v>
                </c:pt>
                <c:pt idx="73">
                  <c:v>-1.7210834553440719</c:v>
                </c:pt>
                <c:pt idx="74">
                  <c:v>-5.4411532830273757</c:v>
                </c:pt>
                <c:pt idx="75">
                  <c:v>0.8387768892893348</c:v>
                </c:pt>
                <c:pt idx="76">
                  <c:v>-0.60136276607727268</c:v>
                </c:pt>
                <c:pt idx="77">
                  <c:v>-1.4006644892442921</c:v>
                </c:pt>
                <c:pt idx="78">
                  <c:v>-2.3408041446108854</c:v>
                </c:pt>
                <c:pt idx="79">
                  <c:v>-1.5608739722941891</c:v>
                </c:pt>
                <c:pt idx="80">
                  <c:v>1.3581484401396438</c:v>
                </c:pt>
                <c:pt idx="81">
                  <c:v>-0.76157224912715549</c:v>
                </c:pt>
                <c:pt idx="82">
                  <c:v>6.7384277508728445</c:v>
                </c:pt>
                <c:pt idx="83">
                  <c:v>1.5782182678229617</c:v>
                </c:pt>
                <c:pt idx="84">
                  <c:v>4.3194053384389974</c:v>
                </c:pt>
                <c:pt idx="85">
                  <c:v>5.8581484401396438</c:v>
                </c:pt>
                <c:pt idx="86">
                  <c:v>3.5377294740398781</c:v>
                </c:pt>
                <c:pt idx="87">
                  <c:v>-2.0608739722941891</c:v>
                </c:pt>
                <c:pt idx="88">
                  <c:v>-1.7809437999774786</c:v>
                </c:pt>
                <c:pt idx="89">
                  <c:v>1.3775199909899811</c:v>
                </c:pt>
                <c:pt idx="90">
                  <c:v>0.35814844013964375</c:v>
                </c:pt>
                <c:pt idx="91">
                  <c:v>-3.8214325937605622</c:v>
                </c:pt>
                <c:pt idx="92">
                  <c:v>-6.6612231107106652</c:v>
                </c:pt>
                <c:pt idx="93">
                  <c:v>-1.9024101813267293</c:v>
                </c:pt>
                <c:pt idx="94">
                  <c:v>-3.7017119044937488</c:v>
                </c:pt>
                <c:pt idx="95">
                  <c:v>0.21905620002252135</c:v>
                </c:pt>
                <c:pt idx="96">
                  <c:v>4.5782182678229617</c:v>
                </c:pt>
                <c:pt idx="97">
                  <c:v>0.29828809550625124</c:v>
                </c:pt>
                <c:pt idx="98">
                  <c:v>2.5782182678229617</c:v>
                </c:pt>
                <c:pt idx="99">
                  <c:v>3.5975898186732707</c:v>
                </c:pt>
                <c:pt idx="100">
                  <c:v>-2.3619213875436458</c:v>
                </c:pt>
                <c:pt idx="101">
                  <c:v>-4.2210834553440719</c:v>
                </c:pt>
                <c:pt idx="102">
                  <c:v>3.4373803356233736</c:v>
                </c:pt>
                <c:pt idx="103">
                  <c:v>0.63807861245635422</c:v>
                </c:pt>
                <c:pt idx="104">
                  <c:v>-8.199121522693531E-2</c:v>
                </c:pt>
                <c:pt idx="105">
                  <c:v>-6.1612231107106652</c:v>
                </c:pt>
                <c:pt idx="106">
                  <c:v>-0.48164207681045923</c:v>
                </c:pt>
                <c:pt idx="107">
                  <c:v>2.0782182678229617</c:v>
                </c:pt>
                <c:pt idx="108">
                  <c:v>2.1979389570897609</c:v>
                </c:pt>
                <c:pt idx="109">
                  <c:v>0.87751999098998112</c:v>
                </c:pt>
                <c:pt idx="110">
                  <c:v>-7.3619213875436458</c:v>
                </c:pt>
                <c:pt idx="111">
                  <c:v>-0.20171190449374876</c:v>
                </c:pt>
                <c:pt idx="112">
                  <c:v>-4.1823403536434256</c:v>
                </c:pt>
                <c:pt idx="113">
                  <c:v>0.99724068025679458</c:v>
                </c:pt>
                <c:pt idx="114">
                  <c:v>1.0782182678229617</c:v>
                </c:pt>
                <c:pt idx="115">
                  <c:v>-0.90241018132672934</c:v>
                </c:pt>
                <c:pt idx="116">
                  <c:v>1.9180087847730647</c:v>
                </c:pt>
                <c:pt idx="117">
                  <c:v>-6.6823403536434256</c:v>
                </c:pt>
                <c:pt idx="118">
                  <c:v>-1.2422006982768323</c:v>
                </c:pt>
                <c:pt idx="119">
                  <c:v>3.7729474039878141E-2</c:v>
                </c:pt>
              </c:numCache>
            </c:numRef>
          </c:yVal>
          <c:smooth val="0"/>
          <c:extLst>
            <c:ext xmlns:c16="http://schemas.microsoft.com/office/drawing/2014/chart" uri="{C3380CC4-5D6E-409C-BE32-E72D297353CC}">
              <c16:uniqueId val="{00000001-5F26-46C1-BE70-5EB526E191F4}"/>
            </c:ext>
          </c:extLst>
        </c:ser>
        <c:dLbls>
          <c:showLegendKey val="0"/>
          <c:showVal val="0"/>
          <c:showCatName val="0"/>
          <c:showSerName val="0"/>
          <c:showPercent val="0"/>
          <c:showBubbleSize val="0"/>
        </c:dLbls>
        <c:axId val="584389376"/>
        <c:axId val="584392256"/>
      </c:scatterChart>
      <c:valAx>
        <c:axId val="584389376"/>
        <c:scaling>
          <c:orientation val="minMax"/>
        </c:scaling>
        <c:delete val="0"/>
        <c:axPos val="b"/>
        <c:title>
          <c:overlay val="0"/>
        </c:title>
        <c:numFmt formatCode="General" sourceLinked="1"/>
        <c:majorTickMark val="out"/>
        <c:minorTickMark val="none"/>
        <c:tickLblPos val="nextTo"/>
        <c:crossAx val="584392256"/>
        <c:crosses val="autoZero"/>
        <c:crossBetween val="midCat"/>
      </c:valAx>
      <c:valAx>
        <c:axId val="584392256"/>
        <c:scaling>
          <c:orientation val="minMax"/>
        </c:scaling>
        <c:delete val="0"/>
        <c:axPos val="l"/>
        <c:title>
          <c:overlay val="0"/>
        </c:title>
        <c:numFmt formatCode="General" sourceLinked="1"/>
        <c:majorTickMark val="out"/>
        <c:minorTickMark val="none"/>
        <c:tickLblPos val="nextTo"/>
        <c:crossAx val="5843893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PH"/>
              <a:t>predias Line Fit  Plot</a:t>
            </a:r>
          </a:p>
        </c:rich>
      </c:tx>
      <c:overlay val="0"/>
    </c:title>
    <c:autoTitleDeleted val="0"/>
    <c:plotArea>
      <c:layout/>
      <c:scatterChart>
        <c:scatterStyle val="lineMarker"/>
        <c:varyColors val="0"/>
        <c:ser>
          <c:idx val="0"/>
          <c:order val="0"/>
          <c:tx>
            <c:v>postdias</c:v>
          </c:tx>
          <c:spPr>
            <a:ln w="38100">
              <a:noFill/>
            </a:ln>
          </c:spPr>
          <c:xVal>
            <c:numRef>
              <c:f>ANCOVA!$K$53:$K$172</c:f>
              <c:numCache>
                <c:formatCode>General</c:formatCode>
                <c:ptCount val="120"/>
                <c:pt idx="0">
                  <c:v>113</c:v>
                </c:pt>
                <c:pt idx="1">
                  <c:v>113.5</c:v>
                </c:pt>
                <c:pt idx="2">
                  <c:v>102</c:v>
                </c:pt>
                <c:pt idx="3">
                  <c:v>108.5</c:v>
                </c:pt>
                <c:pt idx="4">
                  <c:v>106</c:v>
                </c:pt>
                <c:pt idx="5">
                  <c:v>109</c:v>
                </c:pt>
                <c:pt idx="6">
                  <c:v>101</c:v>
                </c:pt>
                <c:pt idx="7">
                  <c:v>109.5</c:v>
                </c:pt>
                <c:pt idx="8">
                  <c:v>104</c:v>
                </c:pt>
                <c:pt idx="9">
                  <c:v>103.5</c:v>
                </c:pt>
                <c:pt idx="10">
                  <c:v>108</c:v>
                </c:pt>
                <c:pt idx="11">
                  <c:v>103</c:v>
                </c:pt>
                <c:pt idx="12">
                  <c:v>104</c:v>
                </c:pt>
                <c:pt idx="13">
                  <c:v>104.5</c:v>
                </c:pt>
                <c:pt idx="14">
                  <c:v>101</c:v>
                </c:pt>
                <c:pt idx="15">
                  <c:v>105.5</c:v>
                </c:pt>
                <c:pt idx="16">
                  <c:v>105.5</c:v>
                </c:pt>
                <c:pt idx="17">
                  <c:v>105</c:v>
                </c:pt>
                <c:pt idx="18">
                  <c:v>106</c:v>
                </c:pt>
                <c:pt idx="19">
                  <c:v>104.5</c:v>
                </c:pt>
                <c:pt idx="20">
                  <c:v>102</c:v>
                </c:pt>
                <c:pt idx="21">
                  <c:v>102.5</c:v>
                </c:pt>
                <c:pt idx="22">
                  <c:v>98</c:v>
                </c:pt>
                <c:pt idx="23">
                  <c:v>109.5</c:v>
                </c:pt>
                <c:pt idx="24">
                  <c:v>105</c:v>
                </c:pt>
                <c:pt idx="25">
                  <c:v>106.5</c:v>
                </c:pt>
                <c:pt idx="26">
                  <c:v>102.5</c:v>
                </c:pt>
                <c:pt idx="27">
                  <c:v>105.5</c:v>
                </c:pt>
                <c:pt idx="28">
                  <c:v>95.5</c:v>
                </c:pt>
                <c:pt idx="29">
                  <c:v>102.5</c:v>
                </c:pt>
                <c:pt idx="30">
                  <c:v>102.5</c:v>
                </c:pt>
                <c:pt idx="31">
                  <c:v>106</c:v>
                </c:pt>
                <c:pt idx="32">
                  <c:v>97.5</c:v>
                </c:pt>
                <c:pt idx="33">
                  <c:v>102</c:v>
                </c:pt>
                <c:pt idx="34">
                  <c:v>103</c:v>
                </c:pt>
                <c:pt idx="35">
                  <c:v>104.5</c:v>
                </c:pt>
                <c:pt idx="36">
                  <c:v>112</c:v>
                </c:pt>
                <c:pt idx="37">
                  <c:v>104</c:v>
                </c:pt>
                <c:pt idx="38">
                  <c:v>104</c:v>
                </c:pt>
                <c:pt idx="39">
                  <c:v>100.5</c:v>
                </c:pt>
                <c:pt idx="40">
                  <c:v>103</c:v>
                </c:pt>
                <c:pt idx="41">
                  <c:v>101.5</c:v>
                </c:pt>
                <c:pt idx="42">
                  <c:v>108.5</c:v>
                </c:pt>
                <c:pt idx="43">
                  <c:v>100.5</c:v>
                </c:pt>
                <c:pt idx="44">
                  <c:v>101</c:v>
                </c:pt>
                <c:pt idx="45">
                  <c:v>111.5</c:v>
                </c:pt>
                <c:pt idx="46">
                  <c:v>95</c:v>
                </c:pt>
                <c:pt idx="47">
                  <c:v>101.5</c:v>
                </c:pt>
                <c:pt idx="48">
                  <c:v>103.5</c:v>
                </c:pt>
                <c:pt idx="49">
                  <c:v>101</c:v>
                </c:pt>
                <c:pt idx="50">
                  <c:v>105.5</c:v>
                </c:pt>
                <c:pt idx="51">
                  <c:v>97</c:v>
                </c:pt>
                <c:pt idx="52">
                  <c:v>96.5</c:v>
                </c:pt>
                <c:pt idx="53">
                  <c:v>99</c:v>
                </c:pt>
                <c:pt idx="54">
                  <c:v>103.5</c:v>
                </c:pt>
                <c:pt idx="55">
                  <c:v>100</c:v>
                </c:pt>
                <c:pt idx="56">
                  <c:v>100</c:v>
                </c:pt>
                <c:pt idx="57">
                  <c:v>98</c:v>
                </c:pt>
                <c:pt idx="58">
                  <c:v>101</c:v>
                </c:pt>
                <c:pt idx="59">
                  <c:v>101</c:v>
                </c:pt>
                <c:pt idx="60">
                  <c:v>103.5</c:v>
                </c:pt>
                <c:pt idx="61">
                  <c:v>103</c:v>
                </c:pt>
                <c:pt idx="62">
                  <c:v>98.5</c:v>
                </c:pt>
                <c:pt idx="63">
                  <c:v>104</c:v>
                </c:pt>
                <c:pt idx="64">
                  <c:v>98.5</c:v>
                </c:pt>
                <c:pt idx="65">
                  <c:v>98.5</c:v>
                </c:pt>
                <c:pt idx="66">
                  <c:v>100.5</c:v>
                </c:pt>
                <c:pt idx="67">
                  <c:v>100</c:v>
                </c:pt>
                <c:pt idx="68">
                  <c:v>98</c:v>
                </c:pt>
                <c:pt idx="69">
                  <c:v>96.5</c:v>
                </c:pt>
                <c:pt idx="70">
                  <c:v>99.5</c:v>
                </c:pt>
                <c:pt idx="71">
                  <c:v>99</c:v>
                </c:pt>
                <c:pt idx="72">
                  <c:v>104</c:v>
                </c:pt>
                <c:pt idx="73">
                  <c:v>101</c:v>
                </c:pt>
                <c:pt idx="74">
                  <c:v>100.5</c:v>
                </c:pt>
                <c:pt idx="75">
                  <c:v>100</c:v>
                </c:pt>
                <c:pt idx="76">
                  <c:v>99</c:v>
                </c:pt>
                <c:pt idx="77">
                  <c:v>104</c:v>
                </c:pt>
                <c:pt idx="78">
                  <c:v>103</c:v>
                </c:pt>
                <c:pt idx="79">
                  <c:v>102.5</c:v>
                </c:pt>
                <c:pt idx="80">
                  <c:v>95.5</c:v>
                </c:pt>
                <c:pt idx="81">
                  <c:v>97.5</c:v>
                </c:pt>
                <c:pt idx="82">
                  <c:v>97.5</c:v>
                </c:pt>
                <c:pt idx="83">
                  <c:v>96</c:v>
                </c:pt>
                <c:pt idx="84">
                  <c:v>104.5</c:v>
                </c:pt>
                <c:pt idx="85">
                  <c:v>95.5</c:v>
                </c:pt>
                <c:pt idx="86">
                  <c:v>92.5</c:v>
                </c:pt>
                <c:pt idx="87">
                  <c:v>102.5</c:v>
                </c:pt>
                <c:pt idx="88">
                  <c:v>102</c:v>
                </c:pt>
                <c:pt idx="89">
                  <c:v>91</c:v>
                </c:pt>
                <c:pt idx="90">
                  <c:v>95.5</c:v>
                </c:pt>
                <c:pt idx="91">
                  <c:v>98.5</c:v>
                </c:pt>
                <c:pt idx="92">
                  <c:v>100</c:v>
                </c:pt>
                <c:pt idx="93">
                  <c:v>91.5</c:v>
                </c:pt>
                <c:pt idx="94">
                  <c:v>96.5</c:v>
                </c:pt>
                <c:pt idx="95">
                  <c:v>102</c:v>
                </c:pt>
                <c:pt idx="96">
                  <c:v>96</c:v>
                </c:pt>
                <c:pt idx="97">
                  <c:v>96.5</c:v>
                </c:pt>
                <c:pt idx="98">
                  <c:v>96</c:v>
                </c:pt>
                <c:pt idx="99">
                  <c:v>91.5</c:v>
                </c:pt>
                <c:pt idx="100">
                  <c:v>95</c:v>
                </c:pt>
                <c:pt idx="101">
                  <c:v>101</c:v>
                </c:pt>
                <c:pt idx="102">
                  <c:v>90</c:v>
                </c:pt>
                <c:pt idx="103">
                  <c:v>95</c:v>
                </c:pt>
                <c:pt idx="104">
                  <c:v>94.5</c:v>
                </c:pt>
                <c:pt idx="105">
                  <c:v>100</c:v>
                </c:pt>
                <c:pt idx="106">
                  <c:v>97</c:v>
                </c:pt>
                <c:pt idx="107">
                  <c:v>96</c:v>
                </c:pt>
                <c:pt idx="108">
                  <c:v>94</c:v>
                </c:pt>
                <c:pt idx="109">
                  <c:v>91</c:v>
                </c:pt>
                <c:pt idx="110">
                  <c:v>95</c:v>
                </c:pt>
                <c:pt idx="111">
                  <c:v>96.5</c:v>
                </c:pt>
                <c:pt idx="112">
                  <c:v>92</c:v>
                </c:pt>
                <c:pt idx="113">
                  <c:v>89</c:v>
                </c:pt>
                <c:pt idx="114">
                  <c:v>96</c:v>
                </c:pt>
                <c:pt idx="115">
                  <c:v>91.5</c:v>
                </c:pt>
                <c:pt idx="116">
                  <c:v>94.5</c:v>
                </c:pt>
                <c:pt idx="117">
                  <c:v>92</c:v>
                </c:pt>
                <c:pt idx="118">
                  <c:v>93</c:v>
                </c:pt>
                <c:pt idx="119">
                  <c:v>92.5</c:v>
                </c:pt>
              </c:numCache>
            </c:numRef>
          </c:xVal>
          <c:yVal>
            <c:numRef>
              <c:f>ANCOVA!$L$53:$L$172</c:f>
              <c:numCache>
                <c:formatCode>General</c:formatCode>
                <c:ptCount val="120"/>
                <c:pt idx="0">
                  <c:v>108</c:v>
                </c:pt>
                <c:pt idx="1">
                  <c:v>96</c:v>
                </c:pt>
                <c:pt idx="2">
                  <c:v>94.5</c:v>
                </c:pt>
                <c:pt idx="3">
                  <c:v>95.5</c:v>
                </c:pt>
                <c:pt idx="4">
                  <c:v>98.5</c:v>
                </c:pt>
                <c:pt idx="5">
                  <c:v>104.5</c:v>
                </c:pt>
                <c:pt idx="6">
                  <c:v>92</c:v>
                </c:pt>
                <c:pt idx="7">
                  <c:v>100</c:v>
                </c:pt>
                <c:pt idx="8">
                  <c:v>95.5</c:v>
                </c:pt>
                <c:pt idx="9">
                  <c:v>99</c:v>
                </c:pt>
                <c:pt idx="10">
                  <c:v>100.5</c:v>
                </c:pt>
                <c:pt idx="11">
                  <c:v>100.5</c:v>
                </c:pt>
                <c:pt idx="12">
                  <c:v>100.5</c:v>
                </c:pt>
                <c:pt idx="13">
                  <c:v>99.5</c:v>
                </c:pt>
                <c:pt idx="14">
                  <c:v>97</c:v>
                </c:pt>
                <c:pt idx="15">
                  <c:v>93</c:v>
                </c:pt>
                <c:pt idx="16">
                  <c:v>99.5</c:v>
                </c:pt>
                <c:pt idx="17">
                  <c:v>100.5</c:v>
                </c:pt>
                <c:pt idx="18">
                  <c:v>95.5</c:v>
                </c:pt>
                <c:pt idx="19">
                  <c:v>98.5</c:v>
                </c:pt>
                <c:pt idx="20">
                  <c:v>99</c:v>
                </c:pt>
                <c:pt idx="21">
                  <c:v>95.5</c:v>
                </c:pt>
                <c:pt idx="22">
                  <c:v>91.5</c:v>
                </c:pt>
                <c:pt idx="23">
                  <c:v>102</c:v>
                </c:pt>
                <c:pt idx="24">
                  <c:v>99</c:v>
                </c:pt>
                <c:pt idx="25">
                  <c:v>100.5</c:v>
                </c:pt>
                <c:pt idx="26">
                  <c:v>96.5</c:v>
                </c:pt>
                <c:pt idx="27">
                  <c:v>94</c:v>
                </c:pt>
                <c:pt idx="28">
                  <c:v>86.5</c:v>
                </c:pt>
                <c:pt idx="29">
                  <c:v>96</c:v>
                </c:pt>
                <c:pt idx="30">
                  <c:v>91</c:v>
                </c:pt>
                <c:pt idx="31">
                  <c:v>93.5</c:v>
                </c:pt>
                <c:pt idx="32">
                  <c:v>88.5</c:v>
                </c:pt>
                <c:pt idx="33">
                  <c:v>91.5</c:v>
                </c:pt>
                <c:pt idx="34">
                  <c:v>94.5</c:v>
                </c:pt>
                <c:pt idx="35">
                  <c:v>96</c:v>
                </c:pt>
                <c:pt idx="36">
                  <c:v>97</c:v>
                </c:pt>
                <c:pt idx="37">
                  <c:v>101.5</c:v>
                </c:pt>
                <c:pt idx="38">
                  <c:v>93.5</c:v>
                </c:pt>
                <c:pt idx="39">
                  <c:v>97.5</c:v>
                </c:pt>
                <c:pt idx="40">
                  <c:v>99.5</c:v>
                </c:pt>
                <c:pt idx="41">
                  <c:v>99.5</c:v>
                </c:pt>
                <c:pt idx="42">
                  <c:v>99</c:v>
                </c:pt>
                <c:pt idx="43">
                  <c:v>92</c:v>
                </c:pt>
                <c:pt idx="44">
                  <c:v>97</c:v>
                </c:pt>
                <c:pt idx="45">
                  <c:v>101</c:v>
                </c:pt>
                <c:pt idx="46">
                  <c:v>89.5</c:v>
                </c:pt>
                <c:pt idx="47">
                  <c:v>96.5</c:v>
                </c:pt>
                <c:pt idx="48">
                  <c:v>91.5</c:v>
                </c:pt>
                <c:pt idx="49">
                  <c:v>95</c:v>
                </c:pt>
                <c:pt idx="50">
                  <c:v>95.5</c:v>
                </c:pt>
                <c:pt idx="51">
                  <c:v>93.5</c:v>
                </c:pt>
                <c:pt idx="52">
                  <c:v>95</c:v>
                </c:pt>
                <c:pt idx="53">
                  <c:v>93</c:v>
                </c:pt>
                <c:pt idx="54">
                  <c:v>96.5</c:v>
                </c:pt>
                <c:pt idx="55">
                  <c:v>100</c:v>
                </c:pt>
                <c:pt idx="56">
                  <c:v>89.5</c:v>
                </c:pt>
                <c:pt idx="57">
                  <c:v>99</c:v>
                </c:pt>
                <c:pt idx="58">
                  <c:v>94.5</c:v>
                </c:pt>
                <c:pt idx="59">
                  <c:v>92</c:v>
                </c:pt>
                <c:pt idx="60">
                  <c:v>94</c:v>
                </c:pt>
                <c:pt idx="61">
                  <c:v>101.5</c:v>
                </c:pt>
                <c:pt idx="62">
                  <c:v>92</c:v>
                </c:pt>
                <c:pt idx="63">
                  <c:v>97.5</c:v>
                </c:pt>
                <c:pt idx="64">
                  <c:v>92</c:v>
                </c:pt>
                <c:pt idx="65">
                  <c:v>93.5</c:v>
                </c:pt>
                <c:pt idx="66">
                  <c:v>89.5</c:v>
                </c:pt>
                <c:pt idx="67">
                  <c:v>100.5</c:v>
                </c:pt>
                <c:pt idx="68">
                  <c:v>89</c:v>
                </c:pt>
                <c:pt idx="69">
                  <c:v>96</c:v>
                </c:pt>
                <c:pt idx="70">
                  <c:v>95</c:v>
                </c:pt>
                <c:pt idx="71">
                  <c:v>96</c:v>
                </c:pt>
                <c:pt idx="72">
                  <c:v>92</c:v>
                </c:pt>
                <c:pt idx="73">
                  <c:v>93</c:v>
                </c:pt>
                <c:pt idx="74">
                  <c:v>89</c:v>
                </c:pt>
                <c:pt idx="75">
                  <c:v>95</c:v>
                </c:pt>
                <c:pt idx="76">
                  <c:v>93</c:v>
                </c:pt>
                <c:pt idx="77">
                  <c:v>95</c:v>
                </c:pt>
                <c:pt idx="78">
                  <c:v>93.5</c:v>
                </c:pt>
                <c:pt idx="79">
                  <c:v>94</c:v>
                </c:pt>
                <c:pt idx="80">
                  <c:v>93</c:v>
                </c:pt>
                <c:pt idx="81">
                  <c:v>92</c:v>
                </c:pt>
                <c:pt idx="82">
                  <c:v>99.5</c:v>
                </c:pt>
                <c:pt idx="83">
                  <c:v>93.5</c:v>
                </c:pt>
                <c:pt idx="84">
                  <c:v>101</c:v>
                </c:pt>
                <c:pt idx="85">
                  <c:v>97.5</c:v>
                </c:pt>
                <c:pt idx="86">
                  <c:v>93.5</c:v>
                </c:pt>
                <c:pt idx="87">
                  <c:v>93.5</c:v>
                </c:pt>
                <c:pt idx="88">
                  <c:v>93.5</c:v>
                </c:pt>
                <c:pt idx="89">
                  <c:v>90.5</c:v>
                </c:pt>
                <c:pt idx="90">
                  <c:v>92</c:v>
                </c:pt>
                <c:pt idx="91">
                  <c:v>89.5</c:v>
                </c:pt>
                <c:pt idx="92">
                  <c:v>87.5</c:v>
                </c:pt>
                <c:pt idx="93">
                  <c:v>87.5</c:v>
                </c:pt>
                <c:pt idx="94">
                  <c:v>88.5</c:v>
                </c:pt>
                <c:pt idx="95">
                  <c:v>95.5</c:v>
                </c:pt>
                <c:pt idx="96">
                  <c:v>96.5</c:v>
                </c:pt>
                <c:pt idx="97">
                  <c:v>92.5</c:v>
                </c:pt>
                <c:pt idx="98">
                  <c:v>94.5</c:v>
                </c:pt>
                <c:pt idx="99">
                  <c:v>93</c:v>
                </c:pt>
                <c:pt idx="100">
                  <c:v>89</c:v>
                </c:pt>
                <c:pt idx="101">
                  <c:v>90.5</c:v>
                </c:pt>
                <c:pt idx="102">
                  <c:v>92</c:v>
                </c:pt>
                <c:pt idx="103">
                  <c:v>92</c:v>
                </c:pt>
                <c:pt idx="104">
                  <c:v>91</c:v>
                </c:pt>
                <c:pt idx="105">
                  <c:v>88</c:v>
                </c:pt>
                <c:pt idx="106">
                  <c:v>92</c:v>
                </c:pt>
                <c:pt idx="107">
                  <c:v>94</c:v>
                </c:pt>
                <c:pt idx="108">
                  <c:v>93</c:v>
                </c:pt>
                <c:pt idx="109">
                  <c:v>90</c:v>
                </c:pt>
                <c:pt idx="110">
                  <c:v>84</c:v>
                </c:pt>
                <c:pt idx="111">
                  <c:v>92</c:v>
                </c:pt>
                <c:pt idx="112">
                  <c:v>85.5</c:v>
                </c:pt>
                <c:pt idx="113">
                  <c:v>89</c:v>
                </c:pt>
                <c:pt idx="114">
                  <c:v>93</c:v>
                </c:pt>
                <c:pt idx="115">
                  <c:v>88.5</c:v>
                </c:pt>
                <c:pt idx="116">
                  <c:v>93</c:v>
                </c:pt>
                <c:pt idx="117">
                  <c:v>83</c:v>
                </c:pt>
                <c:pt idx="118">
                  <c:v>89</c:v>
                </c:pt>
                <c:pt idx="119">
                  <c:v>90</c:v>
                </c:pt>
              </c:numCache>
            </c:numRef>
          </c:yVal>
          <c:smooth val="0"/>
          <c:extLst>
            <c:ext xmlns:c16="http://schemas.microsoft.com/office/drawing/2014/chart" uri="{C3380CC4-5D6E-409C-BE32-E72D297353CC}">
              <c16:uniqueId val="{00000001-7EA8-4593-AFEF-1E6132DFE308}"/>
            </c:ext>
          </c:extLst>
        </c:ser>
        <c:ser>
          <c:idx val="1"/>
          <c:order val="1"/>
          <c:tx>
            <c:v>Predicted postdias</c:v>
          </c:tx>
          <c:spPr>
            <a:ln w="38100">
              <a:noFill/>
            </a:ln>
          </c:spPr>
          <c:xVal>
            <c:numRef>
              <c:f>ANCOVA!$K$53:$K$172</c:f>
              <c:numCache>
                <c:formatCode>General</c:formatCode>
                <c:ptCount val="120"/>
                <c:pt idx="0">
                  <c:v>113</c:v>
                </c:pt>
                <c:pt idx="1">
                  <c:v>113.5</c:v>
                </c:pt>
                <c:pt idx="2">
                  <c:v>102</c:v>
                </c:pt>
                <c:pt idx="3">
                  <c:v>108.5</c:v>
                </c:pt>
                <c:pt idx="4">
                  <c:v>106</c:v>
                </c:pt>
                <c:pt idx="5">
                  <c:v>109</c:v>
                </c:pt>
                <c:pt idx="6">
                  <c:v>101</c:v>
                </c:pt>
                <c:pt idx="7">
                  <c:v>109.5</c:v>
                </c:pt>
                <c:pt idx="8">
                  <c:v>104</c:v>
                </c:pt>
                <c:pt idx="9">
                  <c:v>103.5</c:v>
                </c:pt>
                <c:pt idx="10">
                  <c:v>108</c:v>
                </c:pt>
                <c:pt idx="11">
                  <c:v>103</c:v>
                </c:pt>
                <c:pt idx="12">
                  <c:v>104</c:v>
                </c:pt>
                <c:pt idx="13">
                  <c:v>104.5</c:v>
                </c:pt>
                <c:pt idx="14">
                  <c:v>101</c:v>
                </c:pt>
                <c:pt idx="15">
                  <c:v>105.5</c:v>
                </c:pt>
                <c:pt idx="16">
                  <c:v>105.5</c:v>
                </c:pt>
                <c:pt idx="17">
                  <c:v>105</c:v>
                </c:pt>
                <c:pt idx="18">
                  <c:v>106</c:v>
                </c:pt>
                <c:pt idx="19">
                  <c:v>104.5</c:v>
                </c:pt>
                <c:pt idx="20">
                  <c:v>102</c:v>
                </c:pt>
                <c:pt idx="21">
                  <c:v>102.5</c:v>
                </c:pt>
                <c:pt idx="22">
                  <c:v>98</c:v>
                </c:pt>
                <c:pt idx="23">
                  <c:v>109.5</c:v>
                </c:pt>
                <c:pt idx="24">
                  <c:v>105</c:v>
                </c:pt>
                <c:pt idx="25">
                  <c:v>106.5</c:v>
                </c:pt>
                <c:pt idx="26">
                  <c:v>102.5</c:v>
                </c:pt>
                <c:pt idx="27">
                  <c:v>105.5</c:v>
                </c:pt>
                <c:pt idx="28">
                  <c:v>95.5</c:v>
                </c:pt>
                <c:pt idx="29">
                  <c:v>102.5</c:v>
                </c:pt>
                <c:pt idx="30">
                  <c:v>102.5</c:v>
                </c:pt>
                <c:pt idx="31">
                  <c:v>106</c:v>
                </c:pt>
                <c:pt idx="32">
                  <c:v>97.5</c:v>
                </c:pt>
                <c:pt idx="33">
                  <c:v>102</c:v>
                </c:pt>
                <c:pt idx="34">
                  <c:v>103</c:v>
                </c:pt>
                <c:pt idx="35">
                  <c:v>104.5</c:v>
                </c:pt>
                <c:pt idx="36">
                  <c:v>112</c:v>
                </c:pt>
                <c:pt idx="37">
                  <c:v>104</c:v>
                </c:pt>
                <c:pt idx="38">
                  <c:v>104</c:v>
                </c:pt>
                <c:pt idx="39">
                  <c:v>100.5</c:v>
                </c:pt>
                <c:pt idx="40">
                  <c:v>103</c:v>
                </c:pt>
                <c:pt idx="41">
                  <c:v>101.5</c:v>
                </c:pt>
                <c:pt idx="42">
                  <c:v>108.5</c:v>
                </c:pt>
                <c:pt idx="43">
                  <c:v>100.5</c:v>
                </c:pt>
                <c:pt idx="44">
                  <c:v>101</c:v>
                </c:pt>
                <c:pt idx="45">
                  <c:v>111.5</c:v>
                </c:pt>
                <c:pt idx="46">
                  <c:v>95</c:v>
                </c:pt>
                <c:pt idx="47">
                  <c:v>101.5</c:v>
                </c:pt>
                <c:pt idx="48">
                  <c:v>103.5</c:v>
                </c:pt>
                <c:pt idx="49">
                  <c:v>101</c:v>
                </c:pt>
                <c:pt idx="50">
                  <c:v>105.5</c:v>
                </c:pt>
                <c:pt idx="51">
                  <c:v>97</c:v>
                </c:pt>
                <c:pt idx="52">
                  <c:v>96.5</c:v>
                </c:pt>
                <c:pt idx="53">
                  <c:v>99</c:v>
                </c:pt>
                <c:pt idx="54">
                  <c:v>103.5</c:v>
                </c:pt>
                <c:pt idx="55">
                  <c:v>100</c:v>
                </c:pt>
                <c:pt idx="56">
                  <c:v>100</c:v>
                </c:pt>
                <c:pt idx="57">
                  <c:v>98</c:v>
                </c:pt>
                <c:pt idx="58">
                  <c:v>101</c:v>
                </c:pt>
                <c:pt idx="59">
                  <c:v>101</c:v>
                </c:pt>
                <c:pt idx="60">
                  <c:v>103.5</c:v>
                </c:pt>
                <c:pt idx="61">
                  <c:v>103</c:v>
                </c:pt>
                <c:pt idx="62">
                  <c:v>98.5</c:v>
                </c:pt>
                <c:pt idx="63">
                  <c:v>104</c:v>
                </c:pt>
                <c:pt idx="64">
                  <c:v>98.5</c:v>
                </c:pt>
                <c:pt idx="65">
                  <c:v>98.5</c:v>
                </c:pt>
                <c:pt idx="66">
                  <c:v>100.5</c:v>
                </c:pt>
                <c:pt idx="67">
                  <c:v>100</c:v>
                </c:pt>
                <c:pt idx="68">
                  <c:v>98</c:v>
                </c:pt>
                <c:pt idx="69">
                  <c:v>96.5</c:v>
                </c:pt>
                <c:pt idx="70">
                  <c:v>99.5</c:v>
                </c:pt>
                <c:pt idx="71">
                  <c:v>99</c:v>
                </c:pt>
                <c:pt idx="72">
                  <c:v>104</c:v>
                </c:pt>
                <c:pt idx="73">
                  <c:v>101</c:v>
                </c:pt>
                <c:pt idx="74">
                  <c:v>100.5</c:v>
                </c:pt>
                <c:pt idx="75">
                  <c:v>100</c:v>
                </c:pt>
                <c:pt idx="76">
                  <c:v>99</c:v>
                </c:pt>
                <c:pt idx="77">
                  <c:v>104</c:v>
                </c:pt>
                <c:pt idx="78">
                  <c:v>103</c:v>
                </c:pt>
                <c:pt idx="79">
                  <c:v>102.5</c:v>
                </c:pt>
                <c:pt idx="80">
                  <c:v>95.5</c:v>
                </c:pt>
                <c:pt idx="81">
                  <c:v>97.5</c:v>
                </c:pt>
                <c:pt idx="82">
                  <c:v>97.5</c:v>
                </c:pt>
                <c:pt idx="83">
                  <c:v>96</c:v>
                </c:pt>
                <c:pt idx="84">
                  <c:v>104.5</c:v>
                </c:pt>
                <c:pt idx="85">
                  <c:v>95.5</c:v>
                </c:pt>
                <c:pt idx="86">
                  <c:v>92.5</c:v>
                </c:pt>
                <c:pt idx="87">
                  <c:v>102.5</c:v>
                </c:pt>
                <c:pt idx="88">
                  <c:v>102</c:v>
                </c:pt>
                <c:pt idx="89">
                  <c:v>91</c:v>
                </c:pt>
                <c:pt idx="90">
                  <c:v>95.5</c:v>
                </c:pt>
                <c:pt idx="91">
                  <c:v>98.5</c:v>
                </c:pt>
                <c:pt idx="92">
                  <c:v>100</c:v>
                </c:pt>
                <c:pt idx="93">
                  <c:v>91.5</c:v>
                </c:pt>
                <c:pt idx="94">
                  <c:v>96.5</c:v>
                </c:pt>
                <c:pt idx="95">
                  <c:v>102</c:v>
                </c:pt>
                <c:pt idx="96">
                  <c:v>96</c:v>
                </c:pt>
                <c:pt idx="97">
                  <c:v>96.5</c:v>
                </c:pt>
                <c:pt idx="98">
                  <c:v>96</c:v>
                </c:pt>
                <c:pt idx="99">
                  <c:v>91.5</c:v>
                </c:pt>
                <c:pt idx="100">
                  <c:v>95</c:v>
                </c:pt>
                <c:pt idx="101">
                  <c:v>101</c:v>
                </c:pt>
                <c:pt idx="102">
                  <c:v>90</c:v>
                </c:pt>
                <c:pt idx="103">
                  <c:v>95</c:v>
                </c:pt>
                <c:pt idx="104">
                  <c:v>94.5</c:v>
                </c:pt>
                <c:pt idx="105">
                  <c:v>100</c:v>
                </c:pt>
                <c:pt idx="106">
                  <c:v>97</c:v>
                </c:pt>
                <c:pt idx="107">
                  <c:v>96</c:v>
                </c:pt>
                <c:pt idx="108">
                  <c:v>94</c:v>
                </c:pt>
                <c:pt idx="109">
                  <c:v>91</c:v>
                </c:pt>
                <c:pt idx="110">
                  <c:v>95</c:v>
                </c:pt>
                <c:pt idx="111">
                  <c:v>96.5</c:v>
                </c:pt>
                <c:pt idx="112">
                  <c:v>92</c:v>
                </c:pt>
                <c:pt idx="113">
                  <c:v>89</c:v>
                </c:pt>
                <c:pt idx="114">
                  <c:v>96</c:v>
                </c:pt>
                <c:pt idx="115">
                  <c:v>91.5</c:v>
                </c:pt>
                <c:pt idx="116">
                  <c:v>94.5</c:v>
                </c:pt>
                <c:pt idx="117">
                  <c:v>92</c:v>
                </c:pt>
                <c:pt idx="118">
                  <c:v>93</c:v>
                </c:pt>
                <c:pt idx="119">
                  <c:v>92.5</c:v>
                </c:pt>
              </c:numCache>
            </c:numRef>
          </c:xVal>
          <c:yVal>
            <c:numRef>
              <c:f>ANCOVA!$S$76:$S$195</c:f>
              <c:numCache>
                <c:formatCode>General</c:formatCode>
                <c:ptCount val="120"/>
                <c:pt idx="0">
                  <c:v>101.43940759094494</c:v>
                </c:pt>
                <c:pt idx="1">
                  <c:v>101.71933776326165</c:v>
                </c:pt>
                <c:pt idx="2">
                  <c:v>95.280943799977479</c:v>
                </c:pt>
                <c:pt idx="3">
                  <c:v>98.920036040094615</c:v>
                </c:pt>
                <c:pt idx="4">
                  <c:v>97.520385178511106</c:v>
                </c:pt>
                <c:pt idx="5">
                  <c:v>99.199966212411312</c:v>
                </c:pt>
                <c:pt idx="6">
                  <c:v>94.721083455344072</c:v>
                </c:pt>
                <c:pt idx="7">
                  <c:v>99.479896384728022</c:v>
                </c:pt>
                <c:pt idx="8">
                  <c:v>96.400664489244292</c:v>
                </c:pt>
                <c:pt idx="9">
                  <c:v>96.120734316927582</c:v>
                </c:pt>
                <c:pt idx="10">
                  <c:v>98.640105867777919</c:v>
                </c:pt>
                <c:pt idx="11">
                  <c:v>95.840804144610885</c:v>
                </c:pt>
                <c:pt idx="12">
                  <c:v>96.400664489244292</c:v>
                </c:pt>
                <c:pt idx="13">
                  <c:v>96.680594661561003</c:v>
                </c:pt>
                <c:pt idx="14">
                  <c:v>94.721083455344072</c:v>
                </c:pt>
                <c:pt idx="15">
                  <c:v>97.240455006194395</c:v>
                </c:pt>
                <c:pt idx="16">
                  <c:v>97.240455006194395</c:v>
                </c:pt>
                <c:pt idx="17">
                  <c:v>96.960524833877699</c:v>
                </c:pt>
                <c:pt idx="18">
                  <c:v>97.520385178511106</c:v>
                </c:pt>
                <c:pt idx="19">
                  <c:v>96.680594661561003</c:v>
                </c:pt>
                <c:pt idx="20">
                  <c:v>95.280943799977479</c:v>
                </c:pt>
                <c:pt idx="21">
                  <c:v>95.560873972294189</c:v>
                </c:pt>
                <c:pt idx="22">
                  <c:v>93.041502421443852</c:v>
                </c:pt>
                <c:pt idx="23">
                  <c:v>99.479896384728022</c:v>
                </c:pt>
                <c:pt idx="24">
                  <c:v>96.960524833877699</c:v>
                </c:pt>
                <c:pt idx="25">
                  <c:v>97.800315350827802</c:v>
                </c:pt>
                <c:pt idx="26">
                  <c:v>95.560873972294189</c:v>
                </c:pt>
                <c:pt idx="27">
                  <c:v>97.240455006194395</c:v>
                </c:pt>
                <c:pt idx="28">
                  <c:v>91.641851559860356</c:v>
                </c:pt>
                <c:pt idx="29">
                  <c:v>95.560873972294189</c:v>
                </c:pt>
                <c:pt idx="30">
                  <c:v>95.560873972294189</c:v>
                </c:pt>
                <c:pt idx="31">
                  <c:v>97.520385178511106</c:v>
                </c:pt>
                <c:pt idx="32">
                  <c:v>92.761572249127155</c:v>
                </c:pt>
                <c:pt idx="33">
                  <c:v>95.280943799977479</c:v>
                </c:pt>
                <c:pt idx="34">
                  <c:v>95.840804144610885</c:v>
                </c:pt>
                <c:pt idx="35">
                  <c:v>96.680594661561003</c:v>
                </c:pt>
                <c:pt idx="36">
                  <c:v>100.87954724631153</c:v>
                </c:pt>
                <c:pt idx="37">
                  <c:v>96.400664489244292</c:v>
                </c:pt>
                <c:pt idx="38">
                  <c:v>96.400664489244292</c:v>
                </c:pt>
                <c:pt idx="39">
                  <c:v>94.441153283027376</c:v>
                </c:pt>
                <c:pt idx="40">
                  <c:v>95.840804144610885</c:v>
                </c:pt>
                <c:pt idx="41">
                  <c:v>95.001013627660768</c:v>
                </c:pt>
                <c:pt idx="42">
                  <c:v>98.920036040094615</c:v>
                </c:pt>
                <c:pt idx="43">
                  <c:v>94.441153283027376</c:v>
                </c:pt>
                <c:pt idx="44">
                  <c:v>94.721083455344072</c:v>
                </c:pt>
                <c:pt idx="45">
                  <c:v>100.59961707399484</c:v>
                </c:pt>
                <c:pt idx="46">
                  <c:v>91.361921387543646</c:v>
                </c:pt>
                <c:pt idx="47">
                  <c:v>95.001013627660768</c:v>
                </c:pt>
                <c:pt idx="48">
                  <c:v>96.120734316927582</c:v>
                </c:pt>
                <c:pt idx="49">
                  <c:v>94.721083455344072</c:v>
                </c:pt>
                <c:pt idx="50">
                  <c:v>97.240455006194395</c:v>
                </c:pt>
                <c:pt idx="51">
                  <c:v>92.481642076810459</c:v>
                </c:pt>
                <c:pt idx="52">
                  <c:v>92.201711904493749</c:v>
                </c:pt>
                <c:pt idx="53">
                  <c:v>93.601362766077273</c:v>
                </c:pt>
                <c:pt idx="54">
                  <c:v>96.120734316927582</c:v>
                </c:pt>
                <c:pt idx="55">
                  <c:v>94.161223110710665</c:v>
                </c:pt>
                <c:pt idx="56">
                  <c:v>94.161223110710665</c:v>
                </c:pt>
                <c:pt idx="57">
                  <c:v>93.041502421443852</c:v>
                </c:pt>
                <c:pt idx="58">
                  <c:v>94.721083455344072</c:v>
                </c:pt>
                <c:pt idx="59">
                  <c:v>94.721083455344072</c:v>
                </c:pt>
                <c:pt idx="60">
                  <c:v>96.120734316927582</c:v>
                </c:pt>
                <c:pt idx="61">
                  <c:v>95.840804144610885</c:v>
                </c:pt>
                <c:pt idx="62">
                  <c:v>93.321432593760562</c:v>
                </c:pt>
                <c:pt idx="63">
                  <c:v>96.400664489244292</c:v>
                </c:pt>
                <c:pt idx="64">
                  <c:v>93.321432593760562</c:v>
                </c:pt>
                <c:pt idx="65">
                  <c:v>93.321432593760562</c:v>
                </c:pt>
                <c:pt idx="66">
                  <c:v>94.441153283027376</c:v>
                </c:pt>
                <c:pt idx="67">
                  <c:v>94.161223110710665</c:v>
                </c:pt>
                <c:pt idx="68">
                  <c:v>93.041502421443852</c:v>
                </c:pt>
                <c:pt idx="69">
                  <c:v>92.201711904493749</c:v>
                </c:pt>
                <c:pt idx="70">
                  <c:v>93.881292938393969</c:v>
                </c:pt>
                <c:pt idx="71">
                  <c:v>93.601362766077273</c:v>
                </c:pt>
                <c:pt idx="72">
                  <c:v>96.400664489244292</c:v>
                </c:pt>
                <c:pt idx="73">
                  <c:v>94.721083455344072</c:v>
                </c:pt>
                <c:pt idx="74">
                  <c:v>94.441153283027376</c:v>
                </c:pt>
                <c:pt idx="75">
                  <c:v>94.161223110710665</c:v>
                </c:pt>
                <c:pt idx="76">
                  <c:v>93.601362766077273</c:v>
                </c:pt>
                <c:pt idx="77">
                  <c:v>96.400664489244292</c:v>
                </c:pt>
                <c:pt idx="78">
                  <c:v>95.840804144610885</c:v>
                </c:pt>
                <c:pt idx="79">
                  <c:v>95.560873972294189</c:v>
                </c:pt>
                <c:pt idx="80">
                  <c:v>91.641851559860356</c:v>
                </c:pt>
                <c:pt idx="81">
                  <c:v>92.761572249127155</c:v>
                </c:pt>
                <c:pt idx="82">
                  <c:v>92.761572249127155</c:v>
                </c:pt>
                <c:pt idx="83">
                  <c:v>91.921781732177038</c:v>
                </c:pt>
                <c:pt idx="84">
                  <c:v>96.680594661561003</c:v>
                </c:pt>
                <c:pt idx="85">
                  <c:v>91.641851559860356</c:v>
                </c:pt>
                <c:pt idx="86">
                  <c:v>89.962270525960122</c:v>
                </c:pt>
                <c:pt idx="87">
                  <c:v>95.560873972294189</c:v>
                </c:pt>
                <c:pt idx="88">
                  <c:v>95.280943799977479</c:v>
                </c:pt>
                <c:pt idx="89">
                  <c:v>89.122480009010019</c:v>
                </c:pt>
                <c:pt idx="90">
                  <c:v>91.641851559860356</c:v>
                </c:pt>
                <c:pt idx="91">
                  <c:v>93.321432593760562</c:v>
                </c:pt>
                <c:pt idx="92">
                  <c:v>94.161223110710665</c:v>
                </c:pt>
                <c:pt idx="93">
                  <c:v>89.402410181326729</c:v>
                </c:pt>
                <c:pt idx="94">
                  <c:v>92.201711904493749</c:v>
                </c:pt>
                <c:pt idx="95">
                  <c:v>95.280943799977479</c:v>
                </c:pt>
                <c:pt idx="96">
                  <c:v>91.921781732177038</c:v>
                </c:pt>
                <c:pt idx="97">
                  <c:v>92.201711904493749</c:v>
                </c:pt>
                <c:pt idx="98">
                  <c:v>91.921781732177038</c:v>
                </c:pt>
                <c:pt idx="99">
                  <c:v>89.402410181326729</c:v>
                </c:pt>
                <c:pt idx="100">
                  <c:v>91.361921387543646</c:v>
                </c:pt>
                <c:pt idx="101">
                  <c:v>94.721083455344072</c:v>
                </c:pt>
                <c:pt idx="102">
                  <c:v>88.562619664376626</c:v>
                </c:pt>
                <c:pt idx="103">
                  <c:v>91.361921387543646</c:v>
                </c:pt>
                <c:pt idx="104">
                  <c:v>91.081991215226935</c:v>
                </c:pt>
                <c:pt idx="105">
                  <c:v>94.161223110710665</c:v>
                </c:pt>
                <c:pt idx="106">
                  <c:v>92.481642076810459</c:v>
                </c:pt>
                <c:pt idx="107">
                  <c:v>91.921781732177038</c:v>
                </c:pt>
                <c:pt idx="108">
                  <c:v>90.802061042910239</c:v>
                </c:pt>
                <c:pt idx="109">
                  <c:v>89.122480009010019</c:v>
                </c:pt>
                <c:pt idx="110">
                  <c:v>91.361921387543646</c:v>
                </c:pt>
                <c:pt idx="111">
                  <c:v>92.201711904493749</c:v>
                </c:pt>
                <c:pt idx="112">
                  <c:v>89.682340353643426</c:v>
                </c:pt>
                <c:pt idx="113">
                  <c:v>88.002759319743205</c:v>
                </c:pt>
                <c:pt idx="114">
                  <c:v>91.921781732177038</c:v>
                </c:pt>
                <c:pt idx="115">
                  <c:v>89.402410181326729</c:v>
                </c:pt>
                <c:pt idx="116">
                  <c:v>91.081991215226935</c:v>
                </c:pt>
                <c:pt idx="117">
                  <c:v>89.682340353643426</c:v>
                </c:pt>
                <c:pt idx="118">
                  <c:v>90.242200698276832</c:v>
                </c:pt>
                <c:pt idx="119">
                  <c:v>89.962270525960122</c:v>
                </c:pt>
              </c:numCache>
            </c:numRef>
          </c:yVal>
          <c:smooth val="0"/>
          <c:extLst>
            <c:ext xmlns:c16="http://schemas.microsoft.com/office/drawing/2014/chart" uri="{C3380CC4-5D6E-409C-BE32-E72D297353CC}">
              <c16:uniqueId val="{00000002-7EA8-4593-AFEF-1E6132DFE308}"/>
            </c:ext>
          </c:extLst>
        </c:ser>
        <c:dLbls>
          <c:showLegendKey val="0"/>
          <c:showVal val="0"/>
          <c:showCatName val="0"/>
          <c:showSerName val="0"/>
          <c:showPercent val="0"/>
          <c:showBubbleSize val="0"/>
        </c:dLbls>
        <c:axId val="584391296"/>
        <c:axId val="584378336"/>
      </c:scatterChart>
      <c:valAx>
        <c:axId val="584391296"/>
        <c:scaling>
          <c:orientation val="minMax"/>
        </c:scaling>
        <c:delete val="0"/>
        <c:axPos val="b"/>
        <c:title>
          <c:tx>
            <c:rich>
              <a:bodyPr/>
              <a:lstStyle/>
              <a:p>
                <a:pPr>
                  <a:defRPr/>
                </a:pPr>
                <a:r>
                  <a:rPr lang="en-PH"/>
                  <a:t>predias</a:t>
                </a:r>
              </a:p>
            </c:rich>
          </c:tx>
          <c:overlay val="0"/>
        </c:title>
        <c:numFmt formatCode="General" sourceLinked="1"/>
        <c:majorTickMark val="out"/>
        <c:minorTickMark val="none"/>
        <c:tickLblPos val="nextTo"/>
        <c:crossAx val="584378336"/>
        <c:crosses val="autoZero"/>
        <c:crossBetween val="midCat"/>
      </c:valAx>
      <c:valAx>
        <c:axId val="584378336"/>
        <c:scaling>
          <c:orientation val="minMax"/>
        </c:scaling>
        <c:delete val="0"/>
        <c:axPos val="l"/>
        <c:title>
          <c:tx>
            <c:rich>
              <a:bodyPr/>
              <a:lstStyle/>
              <a:p>
                <a:pPr>
                  <a:defRPr/>
                </a:pPr>
                <a:r>
                  <a:rPr lang="en-PH"/>
                  <a:t>postdias</a:t>
                </a:r>
              </a:p>
            </c:rich>
          </c:tx>
          <c:overlay val="0"/>
        </c:title>
        <c:numFmt formatCode="General" sourceLinked="1"/>
        <c:majorTickMark val="out"/>
        <c:minorTickMark val="none"/>
        <c:tickLblPos val="nextTo"/>
        <c:crossAx val="584391296"/>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PH"/>
              <a:t>Normal Probability Plot</a:t>
            </a:r>
          </a:p>
        </c:rich>
      </c:tx>
      <c:overlay val="0"/>
    </c:title>
    <c:autoTitleDeleted val="0"/>
    <c:plotArea>
      <c:layout/>
      <c:scatterChart>
        <c:scatterStyle val="lineMarker"/>
        <c:varyColors val="0"/>
        <c:ser>
          <c:idx val="0"/>
          <c:order val="0"/>
          <c:spPr>
            <a:ln w="38100">
              <a:noFill/>
            </a:ln>
          </c:spPr>
          <c:xVal>
            <c:numRef>
              <c:f>ANCOVA!$W$76:$W$195</c:f>
              <c:numCache>
                <c:formatCode>General</c:formatCode>
                <c:ptCount val="120"/>
                <c:pt idx="0">
                  <c:v>0.41666666666666669</c:v>
                </c:pt>
                <c:pt idx="1">
                  <c:v>1.25</c:v>
                </c:pt>
                <c:pt idx="2">
                  <c:v>2.0833333333333335</c:v>
                </c:pt>
                <c:pt idx="3">
                  <c:v>2.9166666666666665</c:v>
                </c:pt>
                <c:pt idx="4">
                  <c:v>3.75</c:v>
                </c:pt>
                <c:pt idx="5">
                  <c:v>4.5833333333333339</c:v>
                </c:pt>
                <c:pt idx="6">
                  <c:v>5.416666666666667</c:v>
                </c:pt>
                <c:pt idx="7">
                  <c:v>6.2500000000000009</c:v>
                </c:pt>
                <c:pt idx="8">
                  <c:v>7.0833333333333339</c:v>
                </c:pt>
                <c:pt idx="9">
                  <c:v>7.916666666666667</c:v>
                </c:pt>
                <c:pt idx="10">
                  <c:v>8.75</c:v>
                </c:pt>
                <c:pt idx="11">
                  <c:v>9.5833333333333339</c:v>
                </c:pt>
                <c:pt idx="12">
                  <c:v>10.416666666666666</c:v>
                </c:pt>
                <c:pt idx="13">
                  <c:v>11.25</c:v>
                </c:pt>
                <c:pt idx="14">
                  <c:v>12.083333333333334</c:v>
                </c:pt>
                <c:pt idx="15">
                  <c:v>12.916666666666666</c:v>
                </c:pt>
                <c:pt idx="16">
                  <c:v>13.75</c:v>
                </c:pt>
                <c:pt idx="17">
                  <c:v>14.583333333333334</c:v>
                </c:pt>
                <c:pt idx="18">
                  <c:v>15.416666666666666</c:v>
                </c:pt>
                <c:pt idx="19">
                  <c:v>16.25</c:v>
                </c:pt>
                <c:pt idx="20">
                  <c:v>17.083333333333336</c:v>
                </c:pt>
                <c:pt idx="21">
                  <c:v>17.916666666666668</c:v>
                </c:pt>
                <c:pt idx="22">
                  <c:v>18.750000000000004</c:v>
                </c:pt>
                <c:pt idx="23">
                  <c:v>19.583333333333336</c:v>
                </c:pt>
                <c:pt idx="24">
                  <c:v>20.416666666666668</c:v>
                </c:pt>
                <c:pt idx="25">
                  <c:v>21.250000000000004</c:v>
                </c:pt>
                <c:pt idx="26">
                  <c:v>22.083333333333336</c:v>
                </c:pt>
                <c:pt idx="27">
                  <c:v>22.916666666666668</c:v>
                </c:pt>
                <c:pt idx="28">
                  <c:v>23.750000000000004</c:v>
                </c:pt>
                <c:pt idx="29">
                  <c:v>24.583333333333336</c:v>
                </c:pt>
                <c:pt idx="30">
                  <c:v>25.416666666666668</c:v>
                </c:pt>
                <c:pt idx="31">
                  <c:v>26.250000000000004</c:v>
                </c:pt>
                <c:pt idx="32">
                  <c:v>27.083333333333336</c:v>
                </c:pt>
                <c:pt idx="33">
                  <c:v>27.916666666666668</c:v>
                </c:pt>
                <c:pt idx="34">
                  <c:v>28.750000000000004</c:v>
                </c:pt>
                <c:pt idx="35">
                  <c:v>29.583333333333336</c:v>
                </c:pt>
                <c:pt idx="36">
                  <c:v>30.416666666666668</c:v>
                </c:pt>
                <c:pt idx="37">
                  <c:v>31.250000000000004</c:v>
                </c:pt>
                <c:pt idx="38">
                  <c:v>32.083333333333336</c:v>
                </c:pt>
                <c:pt idx="39">
                  <c:v>32.916666666666664</c:v>
                </c:pt>
                <c:pt idx="40">
                  <c:v>33.75</c:v>
                </c:pt>
                <c:pt idx="41">
                  <c:v>34.583333333333336</c:v>
                </c:pt>
                <c:pt idx="42">
                  <c:v>35.416666666666664</c:v>
                </c:pt>
                <c:pt idx="43">
                  <c:v>36.25</c:v>
                </c:pt>
                <c:pt idx="44">
                  <c:v>37.083333333333336</c:v>
                </c:pt>
                <c:pt idx="45">
                  <c:v>37.916666666666664</c:v>
                </c:pt>
                <c:pt idx="46">
                  <c:v>38.75</c:v>
                </c:pt>
                <c:pt idx="47">
                  <c:v>39.583333333333336</c:v>
                </c:pt>
                <c:pt idx="48">
                  <c:v>40.416666666666664</c:v>
                </c:pt>
                <c:pt idx="49">
                  <c:v>41.25</c:v>
                </c:pt>
                <c:pt idx="50">
                  <c:v>42.083333333333336</c:v>
                </c:pt>
                <c:pt idx="51">
                  <c:v>42.916666666666664</c:v>
                </c:pt>
                <c:pt idx="52">
                  <c:v>43.75</c:v>
                </c:pt>
                <c:pt idx="53">
                  <c:v>44.583333333333336</c:v>
                </c:pt>
                <c:pt idx="54">
                  <c:v>45.416666666666664</c:v>
                </c:pt>
                <c:pt idx="55">
                  <c:v>46.25</c:v>
                </c:pt>
                <c:pt idx="56">
                  <c:v>47.083333333333336</c:v>
                </c:pt>
                <c:pt idx="57">
                  <c:v>47.916666666666664</c:v>
                </c:pt>
                <c:pt idx="58">
                  <c:v>48.75</c:v>
                </c:pt>
                <c:pt idx="59">
                  <c:v>49.583333333333336</c:v>
                </c:pt>
                <c:pt idx="60">
                  <c:v>50.416666666666664</c:v>
                </c:pt>
                <c:pt idx="61">
                  <c:v>51.25</c:v>
                </c:pt>
                <c:pt idx="62">
                  <c:v>52.083333333333336</c:v>
                </c:pt>
                <c:pt idx="63">
                  <c:v>52.916666666666664</c:v>
                </c:pt>
                <c:pt idx="64">
                  <c:v>53.75</c:v>
                </c:pt>
                <c:pt idx="65">
                  <c:v>54.583333333333336</c:v>
                </c:pt>
                <c:pt idx="66">
                  <c:v>55.416666666666664</c:v>
                </c:pt>
                <c:pt idx="67">
                  <c:v>56.25</c:v>
                </c:pt>
                <c:pt idx="68">
                  <c:v>57.083333333333336</c:v>
                </c:pt>
                <c:pt idx="69">
                  <c:v>57.916666666666664</c:v>
                </c:pt>
                <c:pt idx="70">
                  <c:v>58.75</c:v>
                </c:pt>
                <c:pt idx="71">
                  <c:v>59.583333333333336</c:v>
                </c:pt>
                <c:pt idx="72">
                  <c:v>60.416666666666664</c:v>
                </c:pt>
                <c:pt idx="73">
                  <c:v>61.25</c:v>
                </c:pt>
                <c:pt idx="74">
                  <c:v>62.083333333333336</c:v>
                </c:pt>
                <c:pt idx="75">
                  <c:v>62.916666666666664</c:v>
                </c:pt>
                <c:pt idx="76">
                  <c:v>63.75</c:v>
                </c:pt>
                <c:pt idx="77">
                  <c:v>64.583333333333343</c:v>
                </c:pt>
                <c:pt idx="78">
                  <c:v>65.416666666666671</c:v>
                </c:pt>
                <c:pt idx="79">
                  <c:v>66.250000000000014</c:v>
                </c:pt>
                <c:pt idx="80">
                  <c:v>67.083333333333343</c:v>
                </c:pt>
                <c:pt idx="81">
                  <c:v>67.916666666666671</c:v>
                </c:pt>
                <c:pt idx="82">
                  <c:v>68.750000000000014</c:v>
                </c:pt>
                <c:pt idx="83">
                  <c:v>69.583333333333343</c:v>
                </c:pt>
                <c:pt idx="84">
                  <c:v>70.416666666666671</c:v>
                </c:pt>
                <c:pt idx="85">
                  <c:v>71.250000000000014</c:v>
                </c:pt>
                <c:pt idx="86">
                  <c:v>72.083333333333343</c:v>
                </c:pt>
                <c:pt idx="87">
                  <c:v>72.916666666666671</c:v>
                </c:pt>
                <c:pt idx="88">
                  <c:v>73.750000000000014</c:v>
                </c:pt>
                <c:pt idx="89">
                  <c:v>74.583333333333343</c:v>
                </c:pt>
                <c:pt idx="90">
                  <c:v>75.416666666666671</c:v>
                </c:pt>
                <c:pt idx="91">
                  <c:v>76.250000000000014</c:v>
                </c:pt>
                <c:pt idx="92">
                  <c:v>77.083333333333343</c:v>
                </c:pt>
                <c:pt idx="93">
                  <c:v>77.916666666666671</c:v>
                </c:pt>
                <c:pt idx="94">
                  <c:v>78.750000000000014</c:v>
                </c:pt>
                <c:pt idx="95">
                  <c:v>79.583333333333343</c:v>
                </c:pt>
                <c:pt idx="96">
                  <c:v>80.416666666666671</c:v>
                </c:pt>
                <c:pt idx="97">
                  <c:v>81.250000000000014</c:v>
                </c:pt>
                <c:pt idx="98">
                  <c:v>82.083333333333343</c:v>
                </c:pt>
                <c:pt idx="99">
                  <c:v>82.916666666666671</c:v>
                </c:pt>
                <c:pt idx="100">
                  <c:v>83.750000000000014</c:v>
                </c:pt>
                <c:pt idx="101">
                  <c:v>84.583333333333343</c:v>
                </c:pt>
                <c:pt idx="102">
                  <c:v>85.416666666666671</c:v>
                </c:pt>
                <c:pt idx="103">
                  <c:v>86.250000000000014</c:v>
                </c:pt>
                <c:pt idx="104">
                  <c:v>87.083333333333343</c:v>
                </c:pt>
                <c:pt idx="105">
                  <c:v>87.916666666666671</c:v>
                </c:pt>
                <c:pt idx="106">
                  <c:v>88.750000000000014</c:v>
                </c:pt>
                <c:pt idx="107">
                  <c:v>89.583333333333343</c:v>
                </c:pt>
                <c:pt idx="108">
                  <c:v>90.416666666666671</c:v>
                </c:pt>
                <c:pt idx="109">
                  <c:v>91.250000000000014</c:v>
                </c:pt>
                <c:pt idx="110">
                  <c:v>92.083333333333343</c:v>
                </c:pt>
                <c:pt idx="111">
                  <c:v>92.916666666666671</c:v>
                </c:pt>
                <c:pt idx="112">
                  <c:v>93.750000000000014</c:v>
                </c:pt>
                <c:pt idx="113">
                  <c:v>94.583333333333343</c:v>
                </c:pt>
                <c:pt idx="114">
                  <c:v>95.416666666666671</c:v>
                </c:pt>
                <c:pt idx="115">
                  <c:v>96.250000000000014</c:v>
                </c:pt>
                <c:pt idx="116">
                  <c:v>97.083333333333343</c:v>
                </c:pt>
                <c:pt idx="117">
                  <c:v>97.916666666666671</c:v>
                </c:pt>
                <c:pt idx="118">
                  <c:v>98.750000000000014</c:v>
                </c:pt>
                <c:pt idx="119">
                  <c:v>99.583333333333343</c:v>
                </c:pt>
              </c:numCache>
            </c:numRef>
          </c:xVal>
          <c:yVal>
            <c:numRef>
              <c:f>ANCOVA!$X$76:$X$195</c:f>
              <c:numCache>
                <c:formatCode>General</c:formatCode>
                <c:ptCount val="120"/>
                <c:pt idx="0">
                  <c:v>83</c:v>
                </c:pt>
                <c:pt idx="1">
                  <c:v>84</c:v>
                </c:pt>
                <c:pt idx="2">
                  <c:v>85.5</c:v>
                </c:pt>
                <c:pt idx="3">
                  <c:v>86.5</c:v>
                </c:pt>
                <c:pt idx="4">
                  <c:v>87.5</c:v>
                </c:pt>
                <c:pt idx="5">
                  <c:v>87.5</c:v>
                </c:pt>
                <c:pt idx="6">
                  <c:v>88</c:v>
                </c:pt>
                <c:pt idx="7">
                  <c:v>88.5</c:v>
                </c:pt>
                <c:pt idx="8">
                  <c:v>88.5</c:v>
                </c:pt>
                <c:pt idx="9">
                  <c:v>88.5</c:v>
                </c:pt>
                <c:pt idx="10">
                  <c:v>89</c:v>
                </c:pt>
                <c:pt idx="11">
                  <c:v>89</c:v>
                </c:pt>
                <c:pt idx="12">
                  <c:v>89</c:v>
                </c:pt>
                <c:pt idx="13">
                  <c:v>89</c:v>
                </c:pt>
                <c:pt idx="14">
                  <c:v>89</c:v>
                </c:pt>
                <c:pt idx="15">
                  <c:v>89.5</c:v>
                </c:pt>
                <c:pt idx="16">
                  <c:v>89.5</c:v>
                </c:pt>
                <c:pt idx="17">
                  <c:v>89.5</c:v>
                </c:pt>
                <c:pt idx="18">
                  <c:v>89.5</c:v>
                </c:pt>
                <c:pt idx="19">
                  <c:v>90</c:v>
                </c:pt>
                <c:pt idx="20">
                  <c:v>90</c:v>
                </c:pt>
                <c:pt idx="21">
                  <c:v>90.5</c:v>
                </c:pt>
                <c:pt idx="22">
                  <c:v>90.5</c:v>
                </c:pt>
                <c:pt idx="23">
                  <c:v>91</c:v>
                </c:pt>
                <c:pt idx="24">
                  <c:v>91</c:v>
                </c:pt>
                <c:pt idx="25">
                  <c:v>91.5</c:v>
                </c:pt>
                <c:pt idx="26">
                  <c:v>91.5</c:v>
                </c:pt>
                <c:pt idx="27">
                  <c:v>91.5</c:v>
                </c:pt>
                <c:pt idx="28">
                  <c:v>92</c:v>
                </c:pt>
                <c:pt idx="29">
                  <c:v>92</c:v>
                </c:pt>
                <c:pt idx="30">
                  <c:v>92</c:v>
                </c:pt>
                <c:pt idx="31">
                  <c:v>92</c:v>
                </c:pt>
                <c:pt idx="32">
                  <c:v>92</c:v>
                </c:pt>
                <c:pt idx="33">
                  <c:v>92</c:v>
                </c:pt>
                <c:pt idx="34">
                  <c:v>92</c:v>
                </c:pt>
                <c:pt idx="35">
                  <c:v>92</c:v>
                </c:pt>
                <c:pt idx="36">
                  <c:v>92</c:v>
                </c:pt>
                <c:pt idx="37">
                  <c:v>92</c:v>
                </c:pt>
                <c:pt idx="38">
                  <c:v>92</c:v>
                </c:pt>
                <c:pt idx="39">
                  <c:v>92</c:v>
                </c:pt>
                <c:pt idx="40">
                  <c:v>92.5</c:v>
                </c:pt>
                <c:pt idx="41">
                  <c:v>93</c:v>
                </c:pt>
                <c:pt idx="42">
                  <c:v>93</c:v>
                </c:pt>
                <c:pt idx="43">
                  <c:v>93</c:v>
                </c:pt>
                <c:pt idx="44">
                  <c:v>93</c:v>
                </c:pt>
                <c:pt idx="45">
                  <c:v>93</c:v>
                </c:pt>
                <c:pt idx="46">
                  <c:v>93</c:v>
                </c:pt>
                <c:pt idx="47">
                  <c:v>93</c:v>
                </c:pt>
                <c:pt idx="48">
                  <c:v>93</c:v>
                </c:pt>
                <c:pt idx="49">
                  <c:v>93</c:v>
                </c:pt>
                <c:pt idx="50">
                  <c:v>93.5</c:v>
                </c:pt>
                <c:pt idx="51">
                  <c:v>93.5</c:v>
                </c:pt>
                <c:pt idx="52">
                  <c:v>93.5</c:v>
                </c:pt>
                <c:pt idx="53">
                  <c:v>93.5</c:v>
                </c:pt>
                <c:pt idx="54">
                  <c:v>93.5</c:v>
                </c:pt>
                <c:pt idx="55">
                  <c:v>93.5</c:v>
                </c:pt>
                <c:pt idx="56">
                  <c:v>93.5</c:v>
                </c:pt>
                <c:pt idx="57">
                  <c:v>93.5</c:v>
                </c:pt>
                <c:pt idx="58">
                  <c:v>93.5</c:v>
                </c:pt>
                <c:pt idx="59">
                  <c:v>94</c:v>
                </c:pt>
                <c:pt idx="60">
                  <c:v>94</c:v>
                </c:pt>
                <c:pt idx="61">
                  <c:v>94</c:v>
                </c:pt>
                <c:pt idx="62">
                  <c:v>94</c:v>
                </c:pt>
                <c:pt idx="63">
                  <c:v>94.5</c:v>
                </c:pt>
                <c:pt idx="64">
                  <c:v>94.5</c:v>
                </c:pt>
                <c:pt idx="65">
                  <c:v>94.5</c:v>
                </c:pt>
                <c:pt idx="66">
                  <c:v>94.5</c:v>
                </c:pt>
                <c:pt idx="67">
                  <c:v>95</c:v>
                </c:pt>
                <c:pt idx="68">
                  <c:v>95</c:v>
                </c:pt>
                <c:pt idx="69">
                  <c:v>95</c:v>
                </c:pt>
                <c:pt idx="70">
                  <c:v>95</c:v>
                </c:pt>
                <c:pt idx="71">
                  <c:v>95</c:v>
                </c:pt>
                <c:pt idx="72">
                  <c:v>95.5</c:v>
                </c:pt>
                <c:pt idx="73">
                  <c:v>95.5</c:v>
                </c:pt>
                <c:pt idx="74">
                  <c:v>95.5</c:v>
                </c:pt>
                <c:pt idx="75">
                  <c:v>95.5</c:v>
                </c:pt>
                <c:pt idx="76">
                  <c:v>95.5</c:v>
                </c:pt>
                <c:pt idx="77">
                  <c:v>95.5</c:v>
                </c:pt>
                <c:pt idx="78">
                  <c:v>96</c:v>
                </c:pt>
                <c:pt idx="79">
                  <c:v>96</c:v>
                </c:pt>
                <c:pt idx="80">
                  <c:v>96</c:v>
                </c:pt>
                <c:pt idx="81">
                  <c:v>96</c:v>
                </c:pt>
                <c:pt idx="82">
                  <c:v>96</c:v>
                </c:pt>
                <c:pt idx="83">
                  <c:v>96.5</c:v>
                </c:pt>
                <c:pt idx="84">
                  <c:v>96.5</c:v>
                </c:pt>
                <c:pt idx="85">
                  <c:v>96.5</c:v>
                </c:pt>
                <c:pt idx="86">
                  <c:v>96.5</c:v>
                </c:pt>
                <c:pt idx="87">
                  <c:v>97</c:v>
                </c:pt>
                <c:pt idx="88">
                  <c:v>97</c:v>
                </c:pt>
                <c:pt idx="89">
                  <c:v>97</c:v>
                </c:pt>
                <c:pt idx="90">
                  <c:v>97.5</c:v>
                </c:pt>
                <c:pt idx="91">
                  <c:v>97.5</c:v>
                </c:pt>
                <c:pt idx="92">
                  <c:v>97.5</c:v>
                </c:pt>
                <c:pt idx="93">
                  <c:v>98.5</c:v>
                </c:pt>
                <c:pt idx="94">
                  <c:v>98.5</c:v>
                </c:pt>
                <c:pt idx="95">
                  <c:v>99</c:v>
                </c:pt>
                <c:pt idx="96">
                  <c:v>99</c:v>
                </c:pt>
                <c:pt idx="97">
                  <c:v>99</c:v>
                </c:pt>
                <c:pt idx="98">
                  <c:v>99</c:v>
                </c:pt>
                <c:pt idx="99">
                  <c:v>99</c:v>
                </c:pt>
                <c:pt idx="100">
                  <c:v>99.5</c:v>
                </c:pt>
                <c:pt idx="101">
                  <c:v>99.5</c:v>
                </c:pt>
                <c:pt idx="102">
                  <c:v>99.5</c:v>
                </c:pt>
                <c:pt idx="103">
                  <c:v>99.5</c:v>
                </c:pt>
                <c:pt idx="104">
                  <c:v>99.5</c:v>
                </c:pt>
                <c:pt idx="105">
                  <c:v>100</c:v>
                </c:pt>
                <c:pt idx="106">
                  <c:v>100</c:v>
                </c:pt>
                <c:pt idx="107">
                  <c:v>100.5</c:v>
                </c:pt>
                <c:pt idx="108">
                  <c:v>100.5</c:v>
                </c:pt>
                <c:pt idx="109">
                  <c:v>100.5</c:v>
                </c:pt>
                <c:pt idx="110">
                  <c:v>100.5</c:v>
                </c:pt>
                <c:pt idx="111">
                  <c:v>100.5</c:v>
                </c:pt>
                <c:pt idx="112">
                  <c:v>100.5</c:v>
                </c:pt>
                <c:pt idx="113">
                  <c:v>101</c:v>
                </c:pt>
                <c:pt idx="114">
                  <c:v>101</c:v>
                </c:pt>
                <c:pt idx="115">
                  <c:v>101.5</c:v>
                </c:pt>
                <c:pt idx="116">
                  <c:v>101.5</c:v>
                </c:pt>
                <c:pt idx="117">
                  <c:v>102</c:v>
                </c:pt>
                <c:pt idx="118">
                  <c:v>104.5</c:v>
                </c:pt>
                <c:pt idx="119">
                  <c:v>108</c:v>
                </c:pt>
              </c:numCache>
            </c:numRef>
          </c:yVal>
          <c:smooth val="0"/>
          <c:extLst>
            <c:ext xmlns:c16="http://schemas.microsoft.com/office/drawing/2014/chart" uri="{C3380CC4-5D6E-409C-BE32-E72D297353CC}">
              <c16:uniqueId val="{00000001-C8DF-492F-BF16-219AF73A11F8}"/>
            </c:ext>
          </c:extLst>
        </c:ser>
        <c:dLbls>
          <c:showLegendKey val="0"/>
          <c:showVal val="0"/>
          <c:showCatName val="0"/>
          <c:showSerName val="0"/>
          <c:showPercent val="0"/>
          <c:showBubbleSize val="0"/>
        </c:dLbls>
        <c:axId val="584389376"/>
        <c:axId val="584390336"/>
      </c:scatterChart>
      <c:valAx>
        <c:axId val="584389376"/>
        <c:scaling>
          <c:orientation val="minMax"/>
        </c:scaling>
        <c:delete val="0"/>
        <c:axPos val="b"/>
        <c:title>
          <c:tx>
            <c:rich>
              <a:bodyPr/>
              <a:lstStyle/>
              <a:p>
                <a:pPr>
                  <a:defRPr/>
                </a:pPr>
                <a:r>
                  <a:rPr lang="en-PH"/>
                  <a:t>Sample Percentile</a:t>
                </a:r>
              </a:p>
            </c:rich>
          </c:tx>
          <c:overlay val="0"/>
        </c:title>
        <c:numFmt formatCode="General" sourceLinked="1"/>
        <c:majorTickMark val="out"/>
        <c:minorTickMark val="none"/>
        <c:tickLblPos val="nextTo"/>
        <c:crossAx val="584390336"/>
        <c:crosses val="autoZero"/>
        <c:crossBetween val="midCat"/>
      </c:valAx>
      <c:valAx>
        <c:axId val="584390336"/>
        <c:scaling>
          <c:orientation val="minMax"/>
        </c:scaling>
        <c:delete val="0"/>
        <c:axPos val="l"/>
        <c:title>
          <c:tx>
            <c:rich>
              <a:bodyPr/>
              <a:lstStyle/>
              <a:p>
                <a:pPr>
                  <a:defRPr/>
                </a:pPr>
                <a:r>
                  <a:rPr lang="en-PH"/>
                  <a:t>postdias</a:t>
                </a:r>
              </a:p>
            </c:rich>
          </c:tx>
          <c:overlay val="0"/>
        </c:title>
        <c:numFmt formatCode="General" sourceLinked="1"/>
        <c:majorTickMark val="out"/>
        <c:minorTickMark val="none"/>
        <c:tickLblPos val="nextTo"/>
        <c:crossAx val="5843893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PH"/>
              <a:t>presys  Residual Plot</a:t>
            </a:r>
          </a:p>
        </c:rich>
      </c:tx>
      <c:overlay val="0"/>
    </c:title>
    <c:autoTitleDeleted val="0"/>
    <c:plotArea>
      <c:layout/>
      <c:scatterChart>
        <c:scatterStyle val="lineMarker"/>
        <c:varyColors val="0"/>
        <c:ser>
          <c:idx val="0"/>
          <c:order val="0"/>
          <c:spPr>
            <a:ln w="38100">
              <a:noFill/>
            </a:ln>
          </c:spPr>
          <c:xVal>
            <c:numRef>
              <c:f>ANCOVA!$K$199:$K$318</c:f>
              <c:numCache>
                <c:formatCode>General</c:formatCode>
                <c:ptCount val="120"/>
                <c:pt idx="0">
                  <c:v>169</c:v>
                </c:pt>
                <c:pt idx="1">
                  <c:v>161.5</c:v>
                </c:pt>
                <c:pt idx="2">
                  <c:v>156</c:v>
                </c:pt>
                <c:pt idx="3">
                  <c:v>157.5</c:v>
                </c:pt>
                <c:pt idx="4">
                  <c:v>159</c:v>
                </c:pt>
                <c:pt idx="5">
                  <c:v>163.5</c:v>
                </c:pt>
                <c:pt idx="6">
                  <c:v>145</c:v>
                </c:pt>
                <c:pt idx="7">
                  <c:v>167</c:v>
                </c:pt>
                <c:pt idx="8">
                  <c:v>152.5</c:v>
                </c:pt>
                <c:pt idx="9">
                  <c:v>152.5</c:v>
                </c:pt>
                <c:pt idx="10">
                  <c:v>154</c:v>
                </c:pt>
                <c:pt idx="11">
                  <c:v>162</c:v>
                </c:pt>
                <c:pt idx="12">
                  <c:v>157.5</c:v>
                </c:pt>
                <c:pt idx="13">
                  <c:v>159</c:v>
                </c:pt>
                <c:pt idx="14">
                  <c:v>154.5</c:v>
                </c:pt>
                <c:pt idx="15">
                  <c:v>151</c:v>
                </c:pt>
                <c:pt idx="16">
                  <c:v>166</c:v>
                </c:pt>
                <c:pt idx="17">
                  <c:v>157</c:v>
                </c:pt>
                <c:pt idx="18">
                  <c:v>158.5</c:v>
                </c:pt>
                <c:pt idx="19">
                  <c:v>156.5</c:v>
                </c:pt>
                <c:pt idx="20">
                  <c:v>155</c:v>
                </c:pt>
                <c:pt idx="21">
                  <c:v>158</c:v>
                </c:pt>
                <c:pt idx="22">
                  <c:v>153</c:v>
                </c:pt>
                <c:pt idx="23">
                  <c:v>164</c:v>
                </c:pt>
                <c:pt idx="24">
                  <c:v>151</c:v>
                </c:pt>
                <c:pt idx="25">
                  <c:v>155.5</c:v>
                </c:pt>
                <c:pt idx="26">
                  <c:v>156.5</c:v>
                </c:pt>
                <c:pt idx="27">
                  <c:v>158.5</c:v>
                </c:pt>
                <c:pt idx="28">
                  <c:v>147</c:v>
                </c:pt>
                <c:pt idx="29">
                  <c:v>156.5</c:v>
                </c:pt>
                <c:pt idx="30">
                  <c:v>147</c:v>
                </c:pt>
                <c:pt idx="31">
                  <c:v>148</c:v>
                </c:pt>
                <c:pt idx="32">
                  <c:v>151.5</c:v>
                </c:pt>
                <c:pt idx="33">
                  <c:v>155</c:v>
                </c:pt>
                <c:pt idx="34">
                  <c:v>159</c:v>
                </c:pt>
                <c:pt idx="35">
                  <c:v>154</c:v>
                </c:pt>
                <c:pt idx="36">
                  <c:v>157.5</c:v>
                </c:pt>
                <c:pt idx="37">
                  <c:v>153</c:v>
                </c:pt>
                <c:pt idx="38">
                  <c:v>147</c:v>
                </c:pt>
                <c:pt idx="39">
                  <c:v>148</c:v>
                </c:pt>
                <c:pt idx="40">
                  <c:v>152.5</c:v>
                </c:pt>
                <c:pt idx="41">
                  <c:v>152</c:v>
                </c:pt>
                <c:pt idx="42">
                  <c:v>155.5</c:v>
                </c:pt>
                <c:pt idx="43">
                  <c:v>142</c:v>
                </c:pt>
                <c:pt idx="44">
                  <c:v>156.5</c:v>
                </c:pt>
                <c:pt idx="45">
                  <c:v>161.5</c:v>
                </c:pt>
                <c:pt idx="46">
                  <c:v>150.5</c:v>
                </c:pt>
                <c:pt idx="47">
                  <c:v>152</c:v>
                </c:pt>
                <c:pt idx="48">
                  <c:v>151.5</c:v>
                </c:pt>
                <c:pt idx="49">
                  <c:v>149.5</c:v>
                </c:pt>
                <c:pt idx="50">
                  <c:v>151</c:v>
                </c:pt>
                <c:pt idx="51">
                  <c:v>152.5</c:v>
                </c:pt>
                <c:pt idx="52">
                  <c:v>148</c:v>
                </c:pt>
                <c:pt idx="53">
                  <c:v>149</c:v>
                </c:pt>
                <c:pt idx="54">
                  <c:v>159.5</c:v>
                </c:pt>
                <c:pt idx="55">
                  <c:v>152</c:v>
                </c:pt>
                <c:pt idx="56">
                  <c:v>157.5</c:v>
                </c:pt>
                <c:pt idx="57">
                  <c:v>149</c:v>
                </c:pt>
                <c:pt idx="58">
                  <c:v>151</c:v>
                </c:pt>
                <c:pt idx="59">
                  <c:v>150.5</c:v>
                </c:pt>
                <c:pt idx="60">
                  <c:v>146.5</c:v>
                </c:pt>
                <c:pt idx="61">
                  <c:v>149</c:v>
                </c:pt>
                <c:pt idx="62">
                  <c:v>149.5</c:v>
                </c:pt>
                <c:pt idx="63">
                  <c:v>159</c:v>
                </c:pt>
                <c:pt idx="64">
                  <c:v>141</c:v>
                </c:pt>
                <c:pt idx="65">
                  <c:v>153</c:v>
                </c:pt>
                <c:pt idx="66">
                  <c:v>155</c:v>
                </c:pt>
                <c:pt idx="67">
                  <c:v>148.5</c:v>
                </c:pt>
                <c:pt idx="68">
                  <c:v>146</c:v>
                </c:pt>
                <c:pt idx="69">
                  <c:v>144</c:v>
                </c:pt>
                <c:pt idx="70">
                  <c:v>152</c:v>
                </c:pt>
                <c:pt idx="71">
                  <c:v>148.5</c:v>
                </c:pt>
                <c:pt idx="72">
                  <c:v>148</c:v>
                </c:pt>
                <c:pt idx="73">
                  <c:v>155</c:v>
                </c:pt>
                <c:pt idx="74">
                  <c:v>145</c:v>
                </c:pt>
                <c:pt idx="75">
                  <c:v>150</c:v>
                </c:pt>
                <c:pt idx="76">
                  <c:v>145</c:v>
                </c:pt>
                <c:pt idx="77">
                  <c:v>150.5</c:v>
                </c:pt>
                <c:pt idx="78">
                  <c:v>159</c:v>
                </c:pt>
                <c:pt idx="79">
                  <c:v>149</c:v>
                </c:pt>
                <c:pt idx="80">
                  <c:v>145.5</c:v>
                </c:pt>
                <c:pt idx="81">
                  <c:v>151</c:v>
                </c:pt>
                <c:pt idx="82">
                  <c:v>149.5</c:v>
                </c:pt>
                <c:pt idx="83">
                  <c:v>150</c:v>
                </c:pt>
                <c:pt idx="84">
                  <c:v>153.5</c:v>
                </c:pt>
                <c:pt idx="85">
                  <c:v>147.5</c:v>
                </c:pt>
                <c:pt idx="86">
                  <c:v>147.5</c:v>
                </c:pt>
                <c:pt idx="87">
                  <c:v>150</c:v>
                </c:pt>
                <c:pt idx="88">
                  <c:v>152</c:v>
                </c:pt>
                <c:pt idx="89">
                  <c:v>143</c:v>
                </c:pt>
                <c:pt idx="90">
                  <c:v>145.5</c:v>
                </c:pt>
                <c:pt idx="91">
                  <c:v>148.5</c:v>
                </c:pt>
                <c:pt idx="92">
                  <c:v>151.5</c:v>
                </c:pt>
                <c:pt idx="93">
                  <c:v>142</c:v>
                </c:pt>
                <c:pt idx="94">
                  <c:v>149</c:v>
                </c:pt>
                <c:pt idx="95">
                  <c:v>153</c:v>
                </c:pt>
                <c:pt idx="96">
                  <c:v>146.5</c:v>
                </c:pt>
                <c:pt idx="97">
                  <c:v>151.5</c:v>
                </c:pt>
                <c:pt idx="98">
                  <c:v>149</c:v>
                </c:pt>
                <c:pt idx="99">
                  <c:v>141.5</c:v>
                </c:pt>
                <c:pt idx="100">
                  <c:v>148.5</c:v>
                </c:pt>
                <c:pt idx="101">
                  <c:v>143.5</c:v>
                </c:pt>
                <c:pt idx="102">
                  <c:v>147.5</c:v>
                </c:pt>
                <c:pt idx="103">
                  <c:v>140.5</c:v>
                </c:pt>
                <c:pt idx="104">
                  <c:v>143</c:v>
                </c:pt>
                <c:pt idx="105">
                  <c:v>147</c:v>
                </c:pt>
                <c:pt idx="106">
                  <c:v>144</c:v>
                </c:pt>
                <c:pt idx="107">
                  <c:v>147</c:v>
                </c:pt>
                <c:pt idx="108">
                  <c:v>143</c:v>
                </c:pt>
                <c:pt idx="109">
                  <c:v>143.5</c:v>
                </c:pt>
                <c:pt idx="110">
                  <c:v>146.5</c:v>
                </c:pt>
                <c:pt idx="111">
                  <c:v>140</c:v>
                </c:pt>
                <c:pt idx="112">
                  <c:v>139.5</c:v>
                </c:pt>
                <c:pt idx="113">
                  <c:v>136</c:v>
                </c:pt>
                <c:pt idx="114">
                  <c:v>147.5</c:v>
                </c:pt>
                <c:pt idx="115">
                  <c:v>141.5</c:v>
                </c:pt>
                <c:pt idx="116">
                  <c:v>146</c:v>
                </c:pt>
                <c:pt idx="117">
                  <c:v>136</c:v>
                </c:pt>
                <c:pt idx="118">
                  <c:v>138.5</c:v>
                </c:pt>
                <c:pt idx="119">
                  <c:v>148.5</c:v>
                </c:pt>
              </c:numCache>
            </c:numRef>
          </c:xVal>
          <c:yVal>
            <c:numRef>
              <c:f>ANCOVA!$T$222:$T$341</c:f>
              <c:numCache>
                <c:formatCode>General</c:formatCode>
                <c:ptCount val="120"/>
                <c:pt idx="0">
                  <c:v>6.5622214211152823</c:v>
                </c:pt>
                <c:pt idx="1">
                  <c:v>5.2966362915989293</c:v>
                </c:pt>
                <c:pt idx="2">
                  <c:v>-2.2314594700463886</c:v>
                </c:pt>
                <c:pt idx="3">
                  <c:v>-3.6783424441430839</c:v>
                </c:pt>
                <c:pt idx="4">
                  <c:v>-1.625225418239836</c:v>
                </c:pt>
                <c:pt idx="5">
                  <c:v>-1.4658743405300356</c:v>
                </c:pt>
                <c:pt idx="6">
                  <c:v>0.21234900666303247</c:v>
                </c:pt>
                <c:pt idx="7">
                  <c:v>1.8247320532442473</c:v>
                </c:pt>
                <c:pt idx="8">
                  <c:v>-8.5220658638206714</c:v>
                </c:pt>
                <c:pt idx="9">
                  <c:v>11.977934136179329</c:v>
                </c:pt>
                <c:pt idx="10">
                  <c:v>4.5310511620826048</c:v>
                </c:pt>
                <c:pt idx="11">
                  <c:v>-1.8991366433311896E-2</c:v>
                </c:pt>
                <c:pt idx="12">
                  <c:v>0.32165755585691613</c:v>
                </c:pt>
                <c:pt idx="13">
                  <c:v>-5.125225418239836</c:v>
                </c:pt>
                <c:pt idx="14">
                  <c:v>1.2154235040503636</c:v>
                </c:pt>
                <c:pt idx="15">
                  <c:v>-7.5182889723919288E-2</c:v>
                </c:pt>
                <c:pt idx="16">
                  <c:v>-1.0440126306912703</c:v>
                </c:pt>
                <c:pt idx="17">
                  <c:v>1.137285213889129</c:v>
                </c:pt>
                <c:pt idx="18">
                  <c:v>2.1904022397924052</c:v>
                </c:pt>
                <c:pt idx="19">
                  <c:v>-6.0470871280786014</c:v>
                </c:pt>
                <c:pt idx="20">
                  <c:v>-1.1002041539818777</c:v>
                </c:pt>
                <c:pt idx="21">
                  <c:v>-4.4939701021753535</c:v>
                </c:pt>
                <c:pt idx="22">
                  <c:v>-3.3376935218528843</c:v>
                </c:pt>
                <c:pt idx="23">
                  <c:v>1.2184980014376947</c:v>
                </c:pt>
                <c:pt idx="24">
                  <c:v>7.9248171102760807</c:v>
                </c:pt>
                <c:pt idx="25">
                  <c:v>2.0841681879858811</c:v>
                </c:pt>
                <c:pt idx="26">
                  <c:v>-2.5470871280786014</c:v>
                </c:pt>
                <c:pt idx="27">
                  <c:v>-2.3095977602075948</c:v>
                </c:pt>
                <c:pt idx="28">
                  <c:v>-6.5501616254659609</c:v>
                </c:pt>
                <c:pt idx="29">
                  <c:v>0.45291287192139862</c:v>
                </c:pt>
                <c:pt idx="30">
                  <c:v>1.9498383745340391</c:v>
                </c:pt>
                <c:pt idx="31">
                  <c:v>3.3185830584695566</c:v>
                </c:pt>
                <c:pt idx="32">
                  <c:v>-1.8908105477561605</c:v>
                </c:pt>
                <c:pt idx="33">
                  <c:v>0.89979584601812235</c:v>
                </c:pt>
                <c:pt idx="34">
                  <c:v>-5.625225418239836</c:v>
                </c:pt>
                <c:pt idx="35">
                  <c:v>-2.9689488379173952</c:v>
                </c:pt>
                <c:pt idx="36">
                  <c:v>-0.17834244414308387</c:v>
                </c:pt>
                <c:pt idx="37">
                  <c:v>8.1623064781471157</c:v>
                </c:pt>
                <c:pt idx="38">
                  <c:v>-2.0501616254659609</c:v>
                </c:pt>
                <c:pt idx="39">
                  <c:v>0.31858305846955659</c:v>
                </c:pt>
                <c:pt idx="40">
                  <c:v>4.4779341361793286</c:v>
                </c:pt>
                <c:pt idx="41">
                  <c:v>8.2935617942115982</c:v>
                </c:pt>
                <c:pt idx="42">
                  <c:v>5.5841681879858811</c:v>
                </c:pt>
                <c:pt idx="43">
                  <c:v>-0.89388504514350586</c:v>
                </c:pt>
                <c:pt idx="44">
                  <c:v>6.4529128719213986</c:v>
                </c:pt>
                <c:pt idx="45">
                  <c:v>3.2966362915989293</c:v>
                </c:pt>
                <c:pt idx="46">
                  <c:v>2.740444768308322</c:v>
                </c:pt>
                <c:pt idx="47">
                  <c:v>-1.2064382057884018</c:v>
                </c:pt>
                <c:pt idx="48">
                  <c:v>-3.3908105477561605</c:v>
                </c:pt>
                <c:pt idx="49">
                  <c:v>-0.12829991562716714</c:v>
                </c:pt>
                <c:pt idx="50">
                  <c:v>7.4248171102760807</c:v>
                </c:pt>
                <c:pt idx="51">
                  <c:v>-1.0220658638206714</c:v>
                </c:pt>
                <c:pt idx="52">
                  <c:v>-0.68141694153044341</c:v>
                </c:pt>
                <c:pt idx="53">
                  <c:v>1.6873277424050457</c:v>
                </c:pt>
                <c:pt idx="54">
                  <c:v>11.059146923727923</c:v>
                </c:pt>
                <c:pt idx="55">
                  <c:v>-1.7064382057884018</c:v>
                </c:pt>
                <c:pt idx="56">
                  <c:v>-5.1783424441430839</c:v>
                </c:pt>
                <c:pt idx="57">
                  <c:v>10.687327742405046</c:v>
                </c:pt>
                <c:pt idx="58">
                  <c:v>3.9248171102760807</c:v>
                </c:pt>
                <c:pt idx="59">
                  <c:v>-6.759555231691678</c:v>
                </c:pt>
                <c:pt idx="60">
                  <c:v>5.2654660325662803</c:v>
                </c:pt>
                <c:pt idx="61">
                  <c:v>8.1873277424050457</c:v>
                </c:pt>
                <c:pt idx="62">
                  <c:v>1.8717000843728329</c:v>
                </c:pt>
                <c:pt idx="63">
                  <c:v>-1.125225418239836</c:v>
                </c:pt>
                <c:pt idx="64">
                  <c:v>-3.2626297290790234</c:v>
                </c:pt>
                <c:pt idx="65">
                  <c:v>-8.3376935218528843</c:v>
                </c:pt>
                <c:pt idx="66">
                  <c:v>-5.6002041539818777</c:v>
                </c:pt>
                <c:pt idx="67">
                  <c:v>7.5029554004373153</c:v>
                </c:pt>
                <c:pt idx="68">
                  <c:v>-1.91890630940145</c:v>
                </c:pt>
                <c:pt idx="69">
                  <c:v>2.843604322727515</c:v>
                </c:pt>
                <c:pt idx="70">
                  <c:v>-0.70643820578840177</c:v>
                </c:pt>
                <c:pt idx="71">
                  <c:v>7.0029554004373153</c:v>
                </c:pt>
                <c:pt idx="72">
                  <c:v>-8.6814169415304434</c:v>
                </c:pt>
                <c:pt idx="73">
                  <c:v>-4.1002041539818777</c:v>
                </c:pt>
                <c:pt idx="74">
                  <c:v>-0.28765099333696753</c:v>
                </c:pt>
                <c:pt idx="75">
                  <c:v>1.5560724263405632</c:v>
                </c:pt>
                <c:pt idx="76">
                  <c:v>1.2123490066630325</c:v>
                </c:pt>
                <c:pt idx="77">
                  <c:v>6.240444768308322</c:v>
                </c:pt>
                <c:pt idx="78">
                  <c:v>-4.125225418239836</c:v>
                </c:pt>
                <c:pt idx="79">
                  <c:v>-0.81267225759495432</c:v>
                </c:pt>
                <c:pt idx="80">
                  <c:v>8.3967213486307628</c:v>
                </c:pt>
                <c:pt idx="81">
                  <c:v>-0.57518288972391929</c:v>
                </c:pt>
                <c:pt idx="82">
                  <c:v>-1.6282999156271671</c:v>
                </c:pt>
                <c:pt idx="83">
                  <c:v>1.5560724263405632</c:v>
                </c:pt>
                <c:pt idx="84">
                  <c:v>-3.1533211798851539</c:v>
                </c:pt>
                <c:pt idx="85">
                  <c:v>-4.3657892834982022</c:v>
                </c:pt>
                <c:pt idx="86">
                  <c:v>2.1342107165017978</c:v>
                </c:pt>
                <c:pt idx="87">
                  <c:v>6.5560724263405632</c:v>
                </c:pt>
                <c:pt idx="88">
                  <c:v>-2.2064382057884018</c:v>
                </c:pt>
                <c:pt idx="89">
                  <c:v>-2.514036120800256E-2</c:v>
                </c:pt>
                <c:pt idx="90">
                  <c:v>0.8967213486307628</c:v>
                </c:pt>
                <c:pt idx="91">
                  <c:v>-1.9970445995626847</c:v>
                </c:pt>
                <c:pt idx="92">
                  <c:v>-13.890810547756161</c:v>
                </c:pt>
                <c:pt idx="93">
                  <c:v>-2.8938850451435059</c:v>
                </c:pt>
                <c:pt idx="94">
                  <c:v>-1.8126722575949543</c:v>
                </c:pt>
                <c:pt idx="95">
                  <c:v>1.1623064781471157</c:v>
                </c:pt>
                <c:pt idx="96">
                  <c:v>1.7654660325662803</c:v>
                </c:pt>
                <c:pt idx="97">
                  <c:v>-9.8908105477561605</c:v>
                </c:pt>
                <c:pt idx="98">
                  <c:v>-4.3126722575949543</c:v>
                </c:pt>
                <c:pt idx="99">
                  <c:v>-3.5782573871112646</c:v>
                </c:pt>
                <c:pt idx="100">
                  <c:v>-0.49704459956268465</c:v>
                </c:pt>
                <c:pt idx="101">
                  <c:v>0.6592319807597562</c:v>
                </c:pt>
                <c:pt idx="102">
                  <c:v>0.63421071650179783</c:v>
                </c:pt>
                <c:pt idx="103">
                  <c:v>9.0529979289532179</c:v>
                </c:pt>
                <c:pt idx="104">
                  <c:v>-4.0251403612080026</c:v>
                </c:pt>
                <c:pt idx="105">
                  <c:v>-10.550161625465961</c:v>
                </c:pt>
                <c:pt idx="106">
                  <c:v>0.34360432272751495</c:v>
                </c:pt>
                <c:pt idx="107">
                  <c:v>2.4498383745340391</c:v>
                </c:pt>
                <c:pt idx="108">
                  <c:v>-1.0251403612080026</c:v>
                </c:pt>
                <c:pt idx="109">
                  <c:v>-5.8407680192402438</c:v>
                </c:pt>
                <c:pt idx="110">
                  <c:v>-6.7345339674337197</c:v>
                </c:pt>
                <c:pt idx="111">
                  <c:v>-2.6313744130145267</c:v>
                </c:pt>
                <c:pt idx="112">
                  <c:v>-5.8157467549822854</c:v>
                </c:pt>
                <c:pt idx="113">
                  <c:v>2.8936468512434317</c:v>
                </c:pt>
                <c:pt idx="114">
                  <c:v>-2.3657892834982022</c:v>
                </c:pt>
                <c:pt idx="115">
                  <c:v>0.92174261288873538</c:v>
                </c:pt>
                <c:pt idx="116">
                  <c:v>-2.41890630940145</c:v>
                </c:pt>
                <c:pt idx="117">
                  <c:v>4.3936468512434317</c:v>
                </c:pt>
                <c:pt idx="118">
                  <c:v>7.8155085610822113</c:v>
                </c:pt>
                <c:pt idx="119">
                  <c:v>-5.4970445995626847</c:v>
                </c:pt>
              </c:numCache>
            </c:numRef>
          </c:yVal>
          <c:smooth val="0"/>
          <c:extLst>
            <c:ext xmlns:c16="http://schemas.microsoft.com/office/drawing/2014/chart" uri="{C3380CC4-5D6E-409C-BE32-E72D297353CC}">
              <c16:uniqueId val="{00000000-24E7-492E-B8C9-D7FD1DF4DA40}"/>
            </c:ext>
          </c:extLst>
        </c:ser>
        <c:dLbls>
          <c:showLegendKey val="0"/>
          <c:showVal val="0"/>
          <c:showCatName val="0"/>
          <c:showSerName val="0"/>
          <c:showPercent val="0"/>
          <c:showBubbleSize val="0"/>
        </c:dLbls>
        <c:axId val="584393216"/>
        <c:axId val="584381216"/>
      </c:scatterChart>
      <c:valAx>
        <c:axId val="584393216"/>
        <c:scaling>
          <c:orientation val="minMax"/>
        </c:scaling>
        <c:delete val="0"/>
        <c:axPos val="b"/>
        <c:title>
          <c:tx>
            <c:rich>
              <a:bodyPr/>
              <a:lstStyle/>
              <a:p>
                <a:pPr>
                  <a:defRPr/>
                </a:pPr>
                <a:r>
                  <a:rPr lang="en-PH"/>
                  <a:t>presys</a:t>
                </a:r>
              </a:p>
            </c:rich>
          </c:tx>
          <c:overlay val="0"/>
        </c:title>
        <c:numFmt formatCode="General" sourceLinked="1"/>
        <c:majorTickMark val="out"/>
        <c:minorTickMark val="none"/>
        <c:tickLblPos val="nextTo"/>
        <c:crossAx val="584381216"/>
        <c:crosses val="autoZero"/>
        <c:crossBetween val="midCat"/>
      </c:valAx>
      <c:valAx>
        <c:axId val="584381216"/>
        <c:scaling>
          <c:orientation val="minMax"/>
        </c:scaling>
        <c:delete val="0"/>
        <c:axPos val="l"/>
        <c:title>
          <c:tx>
            <c:rich>
              <a:bodyPr/>
              <a:lstStyle/>
              <a:p>
                <a:pPr>
                  <a:defRPr/>
                </a:pPr>
                <a:r>
                  <a:rPr lang="en-PH"/>
                  <a:t>Residuals</a:t>
                </a:r>
              </a:p>
            </c:rich>
          </c:tx>
          <c:overlay val="0"/>
        </c:title>
        <c:numFmt formatCode="General" sourceLinked="1"/>
        <c:majorTickMark val="out"/>
        <c:minorTickMark val="none"/>
        <c:tickLblPos val="nextTo"/>
        <c:crossAx val="58439321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PH"/>
              <a:t>presys Line Fit  Plot</a:t>
            </a:r>
          </a:p>
        </c:rich>
      </c:tx>
      <c:overlay val="0"/>
    </c:title>
    <c:autoTitleDeleted val="0"/>
    <c:plotArea>
      <c:layout/>
      <c:scatterChart>
        <c:scatterStyle val="lineMarker"/>
        <c:varyColors val="0"/>
        <c:ser>
          <c:idx val="0"/>
          <c:order val="0"/>
          <c:tx>
            <c:v>postsys</c:v>
          </c:tx>
          <c:spPr>
            <a:ln w="38100">
              <a:noFill/>
            </a:ln>
          </c:spPr>
          <c:xVal>
            <c:numRef>
              <c:f>ANCOVA!$K$199:$K$318</c:f>
              <c:numCache>
                <c:formatCode>General</c:formatCode>
                <c:ptCount val="120"/>
                <c:pt idx="0">
                  <c:v>169</c:v>
                </c:pt>
                <c:pt idx="1">
                  <c:v>161.5</c:v>
                </c:pt>
                <c:pt idx="2">
                  <c:v>156</c:v>
                </c:pt>
                <c:pt idx="3">
                  <c:v>157.5</c:v>
                </c:pt>
                <c:pt idx="4">
                  <c:v>159</c:v>
                </c:pt>
                <c:pt idx="5">
                  <c:v>163.5</c:v>
                </c:pt>
                <c:pt idx="6">
                  <c:v>145</c:v>
                </c:pt>
                <c:pt idx="7">
                  <c:v>167</c:v>
                </c:pt>
                <c:pt idx="8">
                  <c:v>152.5</c:v>
                </c:pt>
                <c:pt idx="9">
                  <c:v>152.5</c:v>
                </c:pt>
                <c:pt idx="10">
                  <c:v>154</c:v>
                </c:pt>
                <c:pt idx="11">
                  <c:v>162</c:v>
                </c:pt>
                <c:pt idx="12">
                  <c:v>157.5</c:v>
                </c:pt>
                <c:pt idx="13">
                  <c:v>159</c:v>
                </c:pt>
                <c:pt idx="14">
                  <c:v>154.5</c:v>
                </c:pt>
                <c:pt idx="15">
                  <c:v>151</c:v>
                </c:pt>
                <c:pt idx="16">
                  <c:v>166</c:v>
                </c:pt>
                <c:pt idx="17">
                  <c:v>157</c:v>
                </c:pt>
                <c:pt idx="18">
                  <c:v>158.5</c:v>
                </c:pt>
                <c:pt idx="19">
                  <c:v>156.5</c:v>
                </c:pt>
                <c:pt idx="20">
                  <c:v>155</c:v>
                </c:pt>
                <c:pt idx="21">
                  <c:v>158</c:v>
                </c:pt>
                <c:pt idx="22">
                  <c:v>153</c:v>
                </c:pt>
                <c:pt idx="23">
                  <c:v>164</c:v>
                </c:pt>
                <c:pt idx="24">
                  <c:v>151</c:v>
                </c:pt>
                <c:pt idx="25">
                  <c:v>155.5</c:v>
                </c:pt>
                <c:pt idx="26">
                  <c:v>156.5</c:v>
                </c:pt>
                <c:pt idx="27">
                  <c:v>158.5</c:v>
                </c:pt>
                <c:pt idx="28">
                  <c:v>147</c:v>
                </c:pt>
                <c:pt idx="29">
                  <c:v>156.5</c:v>
                </c:pt>
                <c:pt idx="30">
                  <c:v>147</c:v>
                </c:pt>
                <c:pt idx="31">
                  <c:v>148</c:v>
                </c:pt>
                <c:pt idx="32">
                  <c:v>151.5</c:v>
                </c:pt>
                <c:pt idx="33">
                  <c:v>155</c:v>
                </c:pt>
                <c:pt idx="34">
                  <c:v>159</c:v>
                </c:pt>
                <c:pt idx="35">
                  <c:v>154</c:v>
                </c:pt>
                <c:pt idx="36">
                  <c:v>157.5</c:v>
                </c:pt>
                <c:pt idx="37">
                  <c:v>153</c:v>
                </c:pt>
                <c:pt idx="38">
                  <c:v>147</c:v>
                </c:pt>
                <c:pt idx="39">
                  <c:v>148</c:v>
                </c:pt>
                <c:pt idx="40">
                  <c:v>152.5</c:v>
                </c:pt>
                <c:pt idx="41">
                  <c:v>152</c:v>
                </c:pt>
                <c:pt idx="42">
                  <c:v>155.5</c:v>
                </c:pt>
                <c:pt idx="43">
                  <c:v>142</c:v>
                </c:pt>
                <c:pt idx="44">
                  <c:v>156.5</c:v>
                </c:pt>
                <c:pt idx="45">
                  <c:v>161.5</c:v>
                </c:pt>
                <c:pt idx="46">
                  <c:v>150.5</c:v>
                </c:pt>
                <c:pt idx="47">
                  <c:v>152</c:v>
                </c:pt>
                <c:pt idx="48">
                  <c:v>151.5</c:v>
                </c:pt>
                <c:pt idx="49">
                  <c:v>149.5</c:v>
                </c:pt>
                <c:pt idx="50">
                  <c:v>151</c:v>
                </c:pt>
                <c:pt idx="51">
                  <c:v>152.5</c:v>
                </c:pt>
                <c:pt idx="52">
                  <c:v>148</c:v>
                </c:pt>
                <c:pt idx="53">
                  <c:v>149</c:v>
                </c:pt>
                <c:pt idx="54">
                  <c:v>159.5</c:v>
                </c:pt>
                <c:pt idx="55">
                  <c:v>152</c:v>
                </c:pt>
                <c:pt idx="56">
                  <c:v>157.5</c:v>
                </c:pt>
                <c:pt idx="57">
                  <c:v>149</c:v>
                </c:pt>
                <c:pt idx="58">
                  <c:v>151</c:v>
                </c:pt>
                <c:pt idx="59">
                  <c:v>150.5</c:v>
                </c:pt>
                <c:pt idx="60">
                  <c:v>146.5</c:v>
                </c:pt>
                <c:pt idx="61">
                  <c:v>149</c:v>
                </c:pt>
                <c:pt idx="62">
                  <c:v>149.5</c:v>
                </c:pt>
                <c:pt idx="63">
                  <c:v>159</c:v>
                </c:pt>
                <c:pt idx="64">
                  <c:v>141</c:v>
                </c:pt>
                <c:pt idx="65">
                  <c:v>153</c:v>
                </c:pt>
                <c:pt idx="66">
                  <c:v>155</c:v>
                </c:pt>
                <c:pt idx="67">
                  <c:v>148.5</c:v>
                </c:pt>
                <c:pt idx="68">
                  <c:v>146</c:v>
                </c:pt>
                <c:pt idx="69">
                  <c:v>144</c:v>
                </c:pt>
                <c:pt idx="70">
                  <c:v>152</c:v>
                </c:pt>
                <c:pt idx="71">
                  <c:v>148.5</c:v>
                </c:pt>
                <c:pt idx="72">
                  <c:v>148</c:v>
                </c:pt>
                <c:pt idx="73">
                  <c:v>155</c:v>
                </c:pt>
                <c:pt idx="74">
                  <c:v>145</c:v>
                </c:pt>
                <c:pt idx="75">
                  <c:v>150</c:v>
                </c:pt>
                <c:pt idx="76">
                  <c:v>145</c:v>
                </c:pt>
                <c:pt idx="77">
                  <c:v>150.5</c:v>
                </c:pt>
                <c:pt idx="78">
                  <c:v>159</c:v>
                </c:pt>
                <c:pt idx="79">
                  <c:v>149</c:v>
                </c:pt>
                <c:pt idx="80">
                  <c:v>145.5</c:v>
                </c:pt>
                <c:pt idx="81">
                  <c:v>151</c:v>
                </c:pt>
                <c:pt idx="82">
                  <c:v>149.5</c:v>
                </c:pt>
                <c:pt idx="83">
                  <c:v>150</c:v>
                </c:pt>
                <c:pt idx="84">
                  <c:v>153.5</c:v>
                </c:pt>
                <c:pt idx="85">
                  <c:v>147.5</c:v>
                </c:pt>
                <c:pt idx="86">
                  <c:v>147.5</c:v>
                </c:pt>
                <c:pt idx="87">
                  <c:v>150</c:v>
                </c:pt>
                <c:pt idx="88">
                  <c:v>152</c:v>
                </c:pt>
                <c:pt idx="89">
                  <c:v>143</c:v>
                </c:pt>
                <c:pt idx="90">
                  <c:v>145.5</c:v>
                </c:pt>
                <c:pt idx="91">
                  <c:v>148.5</c:v>
                </c:pt>
                <c:pt idx="92">
                  <c:v>151.5</c:v>
                </c:pt>
                <c:pt idx="93">
                  <c:v>142</c:v>
                </c:pt>
                <c:pt idx="94">
                  <c:v>149</c:v>
                </c:pt>
                <c:pt idx="95">
                  <c:v>153</c:v>
                </c:pt>
                <c:pt idx="96">
                  <c:v>146.5</c:v>
                </c:pt>
                <c:pt idx="97">
                  <c:v>151.5</c:v>
                </c:pt>
                <c:pt idx="98">
                  <c:v>149</c:v>
                </c:pt>
                <c:pt idx="99">
                  <c:v>141.5</c:v>
                </c:pt>
                <c:pt idx="100">
                  <c:v>148.5</c:v>
                </c:pt>
                <c:pt idx="101">
                  <c:v>143.5</c:v>
                </c:pt>
                <c:pt idx="102">
                  <c:v>147.5</c:v>
                </c:pt>
                <c:pt idx="103">
                  <c:v>140.5</c:v>
                </c:pt>
                <c:pt idx="104">
                  <c:v>143</c:v>
                </c:pt>
                <c:pt idx="105">
                  <c:v>147</c:v>
                </c:pt>
                <c:pt idx="106">
                  <c:v>144</c:v>
                </c:pt>
                <c:pt idx="107">
                  <c:v>147</c:v>
                </c:pt>
                <c:pt idx="108">
                  <c:v>143</c:v>
                </c:pt>
                <c:pt idx="109">
                  <c:v>143.5</c:v>
                </c:pt>
                <c:pt idx="110">
                  <c:v>146.5</c:v>
                </c:pt>
                <c:pt idx="111">
                  <c:v>140</c:v>
                </c:pt>
                <c:pt idx="112">
                  <c:v>139.5</c:v>
                </c:pt>
                <c:pt idx="113">
                  <c:v>136</c:v>
                </c:pt>
                <c:pt idx="114">
                  <c:v>147.5</c:v>
                </c:pt>
                <c:pt idx="115">
                  <c:v>141.5</c:v>
                </c:pt>
                <c:pt idx="116">
                  <c:v>146</c:v>
                </c:pt>
                <c:pt idx="117">
                  <c:v>136</c:v>
                </c:pt>
                <c:pt idx="118">
                  <c:v>138.5</c:v>
                </c:pt>
                <c:pt idx="119">
                  <c:v>148.5</c:v>
                </c:pt>
              </c:numCache>
            </c:numRef>
          </c:xVal>
          <c:yVal>
            <c:numRef>
              <c:f>ANCOVA!$L$199:$L$318</c:f>
              <c:numCache>
                <c:formatCode>General</c:formatCode>
                <c:ptCount val="120"/>
                <c:pt idx="0">
                  <c:v>151.5</c:v>
                </c:pt>
                <c:pt idx="1">
                  <c:v>145.5</c:v>
                </c:pt>
                <c:pt idx="2">
                  <c:v>134.5</c:v>
                </c:pt>
                <c:pt idx="3">
                  <c:v>134</c:v>
                </c:pt>
                <c:pt idx="4">
                  <c:v>137</c:v>
                </c:pt>
                <c:pt idx="5">
                  <c:v>140</c:v>
                </c:pt>
                <c:pt idx="6">
                  <c:v>130</c:v>
                </c:pt>
                <c:pt idx="7">
                  <c:v>145.5</c:v>
                </c:pt>
                <c:pt idx="8">
                  <c:v>126</c:v>
                </c:pt>
                <c:pt idx="9">
                  <c:v>146.5</c:v>
                </c:pt>
                <c:pt idx="10">
                  <c:v>140</c:v>
                </c:pt>
                <c:pt idx="11">
                  <c:v>140.5</c:v>
                </c:pt>
                <c:pt idx="12">
                  <c:v>138</c:v>
                </c:pt>
                <c:pt idx="13">
                  <c:v>133.5</c:v>
                </c:pt>
                <c:pt idx="14">
                  <c:v>137</c:v>
                </c:pt>
                <c:pt idx="15">
                  <c:v>133.5</c:v>
                </c:pt>
                <c:pt idx="16">
                  <c:v>142</c:v>
                </c:pt>
                <c:pt idx="17">
                  <c:v>138.5</c:v>
                </c:pt>
                <c:pt idx="18">
                  <c:v>140.5</c:v>
                </c:pt>
                <c:pt idx="19">
                  <c:v>131</c:v>
                </c:pt>
                <c:pt idx="20">
                  <c:v>135</c:v>
                </c:pt>
                <c:pt idx="21">
                  <c:v>133.5</c:v>
                </c:pt>
                <c:pt idx="22">
                  <c:v>131.5</c:v>
                </c:pt>
                <c:pt idx="23">
                  <c:v>143</c:v>
                </c:pt>
                <c:pt idx="24">
                  <c:v>141.5</c:v>
                </c:pt>
                <c:pt idx="25">
                  <c:v>138.5</c:v>
                </c:pt>
                <c:pt idx="26">
                  <c:v>134.5</c:v>
                </c:pt>
                <c:pt idx="27">
                  <c:v>136</c:v>
                </c:pt>
                <c:pt idx="28">
                  <c:v>124.5</c:v>
                </c:pt>
                <c:pt idx="29">
                  <c:v>137.5</c:v>
                </c:pt>
                <c:pt idx="30">
                  <c:v>133</c:v>
                </c:pt>
                <c:pt idx="31">
                  <c:v>135</c:v>
                </c:pt>
                <c:pt idx="32">
                  <c:v>132</c:v>
                </c:pt>
                <c:pt idx="33">
                  <c:v>137</c:v>
                </c:pt>
                <c:pt idx="34">
                  <c:v>133</c:v>
                </c:pt>
                <c:pt idx="35">
                  <c:v>132.5</c:v>
                </c:pt>
                <c:pt idx="36">
                  <c:v>137.5</c:v>
                </c:pt>
                <c:pt idx="37">
                  <c:v>143</c:v>
                </c:pt>
                <c:pt idx="38">
                  <c:v>129</c:v>
                </c:pt>
                <c:pt idx="39">
                  <c:v>132</c:v>
                </c:pt>
                <c:pt idx="40">
                  <c:v>139</c:v>
                </c:pt>
                <c:pt idx="41">
                  <c:v>142.5</c:v>
                </c:pt>
                <c:pt idx="42">
                  <c:v>142</c:v>
                </c:pt>
                <c:pt idx="43">
                  <c:v>127</c:v>
                </c:pt>
                <c:pt idx="44">
                  <c:v>143.5</c:v>
                </c:pt>
                <c:pt idx="45">
                  <c:v>143.5</c:v>
                </c:pt>
                <c:pt idx="46">
                  <c:v>136</c:v>
                </c:pt>
                <c:pt idx="47">
                  <c:v>133</c:v>
                </c:pt>
                <c:pt idx="48">
                  <c:v>130.5</c:v>
                </c:pt>
                <c:pt idx="49">
                  <c:v>132.5</c:v>
                </c:pt>
                <c:pt idx="50">
                  <c:v>141</c:v>
                </c:pt>
                <c:pt idx="51">
                  <c:v>133.5</c:v>
                </c:pt>
                <c:pt idx="52">
                  <c:v>131</c:v>
                </c:pt>
                <c:pt idx="53">
                  <c:v>134</c:v>
                </c:pt>
                <c:pt idx="54">
                  <c:v>150</c:v>
                </c:pt>
                <c:pt idx="55">
                  <c:v>132.5</c:v>
                </c:pt>
                <c:pt idx="56">
                  <c:v>132.5</c:v>
                </c:pt>
                <c:pt idx="57">
                  <c:v>143</c:v>
                </c:pt>
                <c:pt idx="58">
                  <c:v>137.5</c:v>
                </c:pt>
                <c:pt idx="59">
                  <c:v>126.5</c:v>
                </c:pt>
                <c:pt idx="60">
                  <c:v>136</c:v>
                </c:pt>
                <c:pt idx="61">
                  <c:v>140.5</c:v>
                </c:pt>
                <c:pt idx="62">
                  <c:v>134.5</c:v>
                </c:pt>
                <c:pt idx="63">
                  <c:v>137.5</c:v>
                </c:pt>
                <c:pt idx="64">
                  <c:v>124</c:v>
                </c:pt>
                <c:pt idx="65">
                  <c:v>126.5</c:v>
                </c:pt>
                <c:pt idx="66">
                  <c:v>130.5</c:v>
                </c:pt>
                <c:pt idx="67">
                  <c:v>139.5</c:v>
                </c:pt>
                <c:pt idx="68">
                  <c:v>128.5</c:v>
                </c:pt>
                <c:pt idx="69">
                  <c:v>132</c:v>
                </c:pt>
                <c:pt idx="70">
                  <c:v>133.5</c:v>
                </c:pt>
                <c:pt idx="71">
                  <c:v>139</c:v>
                </c:pt>
                <c:pt idx="72">
                  <c:v>123</c:v>
                </c:pt>
                <c:pt idx="73">
                  <c:v>132</c:v>
                </c:pt>
                <c:pt idx="74">
                  <c:v>129.5</c:v>
                </c:pt>
                <c:pt idx="75">
                  <c:v>134.5</c:v>
                </c:pt>
                <c:pt idx="76">
                  <c:v>131</c:v>
                </c:pt>
                <c:pt idx="77">
                  <c:v>139.5</c:v>
                </c:pt>
                <c:pt idx="78">
                  <c:v>134.5</c:v>
                </c:pt>
                <c:pt idx="79">
                  <c:v>131.5</c:v>
                </c:pt>
                <c:pt idx="80">
                  <c:v>138.5</c:v>
                </c:pt>
                <c:pt idx="81">
                  <c:v>133</c:v>
                </c:pt>
                <c:pt idx="82">
                  <c:v>131</c:v>
                </c:pt>
                <c:pt idx="83">
                  <c:v>134.5</c:v>
                </c:pt>
                <c:pt idx="84">
                  <c:v>132</c:v>
                </c:pt>
                <c:pt idx="85">
                  <c:v>127</c:v>
                </c:pt>
                <c:pt idx="86">
                  <c:v>133.5</c:v>
                </c:pt>
                <c:pt idx="87">
                  <c:v>139.5</c:v>
                </c:pt>
                <c:pt idx="88">
                  <c:v>132</c:v>
                </c:pt>
                <c:pt idx="89">
                  <c:v>128.5</c:v>
                </c:pt>
                <c:pt idx="90">
                  <c:v>131</c:v>
                </c:pt>
                <c:pt idx="91">
                  <c:v>130</c:v>
                </c:pt>
                <c:pt idx="92">
                  <c:v>120</c:v>
                </c:pt>
                <c:pt idx="93">
                  <c:v>125</c:v>
                </c:pt>
                <c:pt idx="94">
                  <c:v>130.5</c:v>
                </c:pt>
                <c:pt idx="95">
                  <c:v>136</c:v>
                </c:pt>
                <c:pt idx="96">
                  <c:v>132.5</c:v>
                </c:pt>
                <c:pt idx="97">
                  <c:v>124</c:v>
                </c:pt>
                <c:pt idx="98">
                  <c:v>128</c:v>
                </c:pt>
                <c:pt idx="99">
                  <c:v>124</c:v>
                </c:pt>
                <c:pt idx="100">
                  <c:v>131.5</c:v>
                </c:pt>
                <c:pt idx="101">
                  <c:v>129.5</c:v>
                </c:pt>
                <c:pt idx="102">
                  <c:v>132</c:v>
                </c:pt>
                <c:pt idx="103">
                  <c:v>136</c:v>
                </c:pt>
                <c:pt idx="104">
                  <c:v>124.5</c:v>
                </c:pt>
                <c:pt idx="105">
                  <c:v>120.5</c:v>
                </c:pt>
                <c:pt idx="106">
                  <c:v>129.5</c:v>
                </c:pt>
                <c:pt idx="107">
                  <c:v>133.5</c:v>
                </c:pt>
                <c:pt idx="108">
                  <c:v>127.5</c:v>
                </c:pt>
                <c:pt idx="109">
                  <c:v>123</c:v>
                </c:pt>
                <c:pt idx="110">
                  <c:v>124</c:v>
                </c:pt>
                <c:pt idx="111">
                  <c:v>124</c:v>
                </c:pt>
                <c:pt idx="112">
                  <c:v>120.5</c:v>
                </c:pt>
                <c:pt idx="113">
                  <c:v>127</c:v>
                </c:pt>
                <c:pt idx="114">
                  <c:v>129</c:v>
                </c:pt>
                <c:pt idx="115">
                  <c:v>128.5</c:v>
                </c:pt>
                <c:pt idx="116">
                  <c:v>128</c:v>
                </c:pt>
                <c:pt idx="117">
                  <c:v>128.5</c:v>
                </c:pt>
                <c:pt idx="118">
                  <c:v>133.5</c:v>
                </c:pt>
                <c:pt idx="119">
                  <c:v>126.5</c:v>
                </c:pt>
              </c:numCache>
            </c:numRef>
          </c:yVal>
          <c:smooth val="0"/>
          <c:extLst>
            <c:ext xmlns:c16="http://schemas.microsoft.com/office/drawing/2014/chart" uri="{C3380CC4-5D6E-409C-BE32-E72D297353CC}">
              <c16:uniqueId val="{00000000-68B4-4096-8EE6-A02265AB42EE}"/>
            </c:ext>
          </c:extLst>
        </c:ser>
        <c:ser>
          <c:idx val="1"/>
          <c:order val="1"/>
          <c:tx>
            <c:v>Predicted postsys</c:v>
          </c:tx>
          <c:spPr>
            <a:ln w="38100">
              <a:noFill/>
            </a:ln>
          </c:spPr>
          <c:xVal>
            <c:numRef>
              <c:f>ANCOVA!$K$199:$K$318</c:f>
              <c:numCache>
                <c:formatCode>General</c:formatCode>
                <c:ptCount val="120"/>
                <c:pt idx="0">
                  <c:v>169</c:v>
                </c:pt>
                <c:pt idx="1">
                  <c:v>161.5</c:v>
                </c:pt>
                <c:pt idx="2">
                  <c:v>156</c:v>
                </c:pt>
                <c:pt idx="3">
                  <c:v>157.5</c:v>
                </c:pt>
                <c:pt idx="4">
                  <c:v>159</c:v>
                </c:pt>
                <c:pt idx="5">
                  <c:v>163.5</c:v>
                </c:pt>
                <c:pt idx="6">
                  <c:v>145</c:v>
                </c:pt>
                <c:pt idx="7">
                  <c:v>167</c:v>
                </c:pt>
                <c:pt idx="8">
                  <c:v>152.5</c:v>
                </c:pt>
                <c:pt idx="9">
                  <c:v>152.5</c:v>
                </c:pt>
                <c:pt idx="10">
                  <c:v>154</c:v>
                </c:pt>
                <c:pt idx="11">
                  <c:v>162</c:v>
                </c:pt>
                <c:pt idx="12">
                  <c:v>157.5</c:v>
                </c:pt>
                <c:pt idx="13">
                  <c:v>159</c:v>
                </c:pt>
                <c:pt idx="14">
                  <c:v>154.5</c:v>
                </c:pt>
                <c:pt idx="15">
                  <c:v>151</c:v>
                </c:pt>
                <c:pt idx="16">
                  <c:v>166</c:v>
                </c:pt>
                <c:pt idx="17">
                  <c:v>157</c:v>
                </c:pt>
                <c:pt idx="18">
                  <c:v>158.5</c:v>
                </c:pt>
                <c:pt idx="19">
                  <c:v>156.5</c:v>
                </c:pt>
                <c:pt idx="20">
                  <c:v>155</c:v>
                </c:pt>
                <c:pt idx="21">
                  <c:v>158</c:v>
                </c:pt>
                <c:pt idx="22">
                  <c:v>153</c:v>
                </c:pt>
                <c:pt idx="23">
                  <c:v>164</c:v>
                </c:pt>
                <c:pt idx="24">
                  <c:v>151</c:v>
                </c:pt>
                <c:pt idx="25">
                  <c:v>155.5</c:v>
                </c:pt>
                <c:pt idx="26">
                  <c:v>156.5</c:v>
                </c:pt>
                <c:pt idx="27">
                  <c:v>158.5</c:v>
                </c:pt>
                <c:pt idx="28">
                  <c:v>147</c:v>
                </c:pt>
                <c:pt idx="29">
                  <c:v>156.5</c:v>
                </c:pt>
                <c:pt idx="30">
                  <c:v>147</c:v>
                </c:pt>
                <c:pt idx="31">
                  <c:v>148</c:v>
                </c:pt>
                <c:pt idx="32">
                  <c:v>151.5</c:v>
                </c:pt>
                <c:pt idx="33">
                  <c:v>155</c:v>
                </c:pt>
                <c:pt idx="34">
                  <c:v>159</c:v>
                </c:pt>
                <c:pt idx="35">
                  <c:v>154</c:v>
                </c:pt>
                <c:pt idx="36">
                  <c:v>157.5</c:v>
                </c:pt>
                <c:pt idx="37">
                  <c:v>153</c:v>
                </c:pt>
                <c:pt idx="38">
                  <c:v>147</c:v>
                </c:pt>
                <c:pt idx="39">
                  <c:v>148</c:v>
                </c:pt>
                <c:pt idx="40">
                  <c:v>152.5</c:v>
                </c:pt>
                <c:pt idx="41">
                  <c:v>152</c:v>
                </c:pt>
                <c:pt idx="42">
                  <c:v>155.5</c:v>
                </c:pt>
                <c:pt idx="43">
                  <c:v>142</c:v>
                </c:pt>
                <c:pt idx="44">
                  <c:v>156.5</c:v>
                </c:pt>
                <c:pt idx="45">
                  <c:v>161.5</c:v>
                </c:pt>
                <c:pt idx="46">
                  <c:v>150.5</c:v>
                </c:pt>
                <c:pt idx="47">
                  <c:v>152</c:v>
                </c:pt>
                <c:pt idx="48">
                  <c:v>151.5</c:v>
                </c:pt>
                <c:pt idx="49">
                  <c:v>149.5</c:v>
                </c:pt>
                <c:pt idx="50">
                  <c:v>151</c:v>
                </c:pt>
                <c:pt idx="51">
                  <c:v>152.5</c:v>
                </c:pt>
                <c:pt idx="52">
                  <c:v>148</c:v>
                </c:pt>
                <c:pt idx="53">
                  <c:v>149</c:v>
                </c:pt>
                <c:pt idx="54">
                  <c:v>159.5</c:v>
                </c:pt>
                <c:pt idx="55">
                  <c:v>152</c:v>
                </c:pt>
                <c:pt idx="56">
                  <c:v>157.5</c:v>
                </c:pt>
                <c:pt idx="57">
                  <c:v>149</c:v>
                </c:pt>
                <c:pt idx="58">
                  <c:v>151</c:v>
                </c:pt>
                <c:pt idx="59">
                  <c:v>150.5</c:v>
                </c:pt>
                <c:pt idx="60">
                  <c:v>146.5</c:v>
                </c:pt>
                <c:pt idx="61">
                  <c:v>149</c:v>
                </c:pt>
                <c:pt idx="62">
                  <c:v>149.5</c:v>
                </c:pt>
                <c:pt idx="63">
                  <c:v>159</c:v>
                </c:pt>
                <c:pt idx="64">
                  <c:v>141</c:v>
                </c:pt>
                <c:pt idx="65">
                  <c:v>153</c:v>
                </c:pt>
                <c:pt idx="66">
                  <c:v>155</c:v>
                </c:pt>
                <c:pt idx="67">
                  <c:v>148.5</c:v>
                </c:pt>
                <c:pt idx="68">
                  <c:v>146</c:v>
                </c:pt>
                <c:pt idx="69">
                  <c:v>144</c:v>
                </c:pt>
                <c:pt idx="70">
                  <c:v>152</c:v>
                </c:pt>
                <c:pt idx="71">
                  <c:v>148.5</c:v>
                </c:pt>
                <c:pt idx="72">
                  <c:v>148</c:v>
                </c:pt>
                <c:pt idx="73">
                  <c:v>155</c:v>
                </c:pt>
                <c:pt idx="74">
                  <c:v>145</c:v>
                </c:pt>
                <c:pt idx="75">
                  <c:v>150</c:v>
                </c:pt>
                <c:pt idx="76">
                  <c:v>145</c:v>
                </c:pt>
                <c:pt idx="77">
                  <c:v>150.5</c:v>
                </c:pt>
                <c:pt idx="78">
                  <c:v>159</c:v>
                </c:pt>
                <c:pt idx="79">
                  <c:v>149</c:v>
                </c:pt>
                <c:pt idx="80">
                  <c:v>145.5</c:v>
                </c:pt>
                <c:pt idx="81">
                  <c:v>151</c:v>
                </c:pt>
                <c:pt idx="82">
                  <c:v>149.5</c:v>
                </c:pt>
                <c:pt idx="83">
                  <c:v>150</c:v>
                </c:pt>
                <c:pt idx="84">
                  <c:v>153.5</c:v>
                </c:pt>
                <c:pt idx="85">
                  <c:v>147.5</c:v>
                </c:pt>
                <c:pt idx="86">
                  <c:v>147.5</c:v>
                </c:pt>
                <c:pt idx="87">
                  <c:v>150</c:v>
                </c:pt>
                <c:pt idx="88">
                  <c:v>152</c:v>
                </c:pt>
                <c:pt idx="89">
                  <c:v>143</c:v>
                </c:pt>
                <c:pt idx="90">
                  <c:v>145.5</c:v>
                </c:pt>
                <c:pt idx="91">
                  <c:v>148.5</c:v>
                </c:pt>
                <c:pt idx="92">
                  <c:v>151.5</c:v>
                </c:pt>
                <c:pt idx="93">
                  <c:v>142</c:v>
                </c:pt>
                <c:pt idx="94">
                  <c:v>149</c:v>
                </c:pt>
                <c:pt idx="95">
                  <c:v>153</c:v>
                </c:pt>
                <c:pt idx="96">
                  <c:v>146.5</c:v>
                </c:pt>
                <c:pt idx="97">
                  <c:v>151.5</c:v>
                </c:pt>
                <c:pt idx="98">
                  <c:v>149</c:v>
                </c:pt>
                <c:pt idx="99">
                  <c:v>141.5</c:v>
                </c:pt>
                <c:pt idx="100">
                  <c:v>148.5</c:v>
                </c:pt>
                <c:pt idx="101">
                  <c:v>143.5</c:v>
                </c:pt>
                <c:pt idx="102">
                  <c:v>147.5</c:v>
                </c:pt>
                <c:pt idx="103">
                  <c:v>140.5</c:v>
                </c:pt>
                <c:pt idx="104">
                  <c:v>143</c:v>
                </c:pt>
                <c:pt idx="105">
                  <c:v>147</c:v>
                </c:pt>
                <c:pt idx="106">
                  <c:v>144</c:v>
                </c:pt>
                <c:pt idx="107">
                  <c:v>147</c:v>
                </c:pt>
                <c:pt idx="108">
                  <c:v>143</c:v>
                </c:pt>
                <c:pt idx="109">
                  <c:v>143.5</c:v>
                </c:pt>
                <c:pt idx="110">
                  <c:v>146.5</c:v>
                </c:pt>
                <c:pt idx="111">
                  <c:v>140</c:v>
                </c:pt>
                <c:pt idx="112">
                  <c:v>139.5</c:v>
                </c:pt>
                <c:pt idx="113">
                  <c:v>136</c:v>
                </c:pt>
                <c:pt idx="114">
                  <c:v>147.5</c:v>
                </c:pt>
                <c:pt idx="115">
                  <c:v>141.5</c:v>
                </c:pt>
                <c:pt idx="116">
                  <c:v>146</c:v>
                </c:pt>
                <c:pt idx="117">
                  <c:v>136</c:v>
                </c:pt>
                <c:pt idx="118">
                  <c:v>138.5</c:v>
                </c:pt>
                <c:pt idx="119">
                  <c:v>148.5</c:v>
                </c:pt>
              </c:numCache>
            </c:numRef>
          </c:xVal>
          <c:yVal>
            <c:numRef>
              <c:f>ANCOVA!$S$222:$S$341</c:f>
              <c:numCache>
                <c:formatCode>General</c:formatCode>
                <c:ptCount val="120"/>
                <c:pt idx="0">
                  <c:v>144.93777857888472</c:v>
                </c:pt>
                <c:pt idx="1">
                  <c:v>140.20336370840107</c:v>
                </c:pt>
                <c:pt idx="2">
                  <c:v>136.73145947004639</c:v>
                </c:pt>
                <c:pt idx="3">
                  <c:v>137.67834244414308</c:v>
                </c:pt>
                <c:pt idx="4">
                  <c:v>138.62522541823984</c:v>
                </c:pt>
                <c:pt idx="5">
                  <c:v>141.46587434053004</c:v>
                </c:pt>
                <c:pt idx="6">
                  <c:v>129.78765099333697</c:v>
                </c:pt>
                <c:pt idx="7">
                  <c:v>143.67526794675575</c:v>
                </c:pt>
                <c:pt idx="8">
                  <c:v>134.52206586382067</c:v>
                </c:pt>
                <c:pt idx="9">
                  <c:v>134.52206586382067</c:v>
                </c:pt>
                <c:pt idx="10">
                  <c:v>135.4689488379174</c:v>
                </c:pt>
                <c:pt idx="11">
                  <c:v>140.51899136643331</c:v>
                </c:pt>
                <c:pt idx="12">
                  <c:v>137.67834244414308</c:v>
                </c:pt>
                <c:pt idx="13">
                  <c:v>138.62522541823984</c:v>
                </c:pt>
                <c:pt idx="14">
                  <c:v>135.78457649594964</c:v>
                </c:pt>
                <c:pt idx="15">
                  <c:v>133.57518288972392</c:v>
                </c:pt>
                <c:pt idx="16">
                  <c:v>143.04401263069127</c:v>
                </c:pt>
                <c:pt idx="17">
                  <c:v>137.36271478611087</c:v>
                </c:pt>
                <c:pt idx="18">
                  <c:v>138.30959776020759</c:v>
                </c:pt>
                <c:pt idx="19">
                  <c:v>137.0470871280786</c:v>
                </c:pt>
                <c:pt idx="20">
                  <c:v>136.10020415398188</c:v>
                </c:pt>
                <c:pt idx="21">
                  <c:v>137.99397010217535</c:v>
                </c:pt>
                <c:pt idx="22">
                  <c:v>134.83769352185288</c:v>
                </c:pt>
                <c:pt idx="23">
                  <c:v>141.78150199856231</c:v>
                </c:pt>
                <c:pt idx="24">
                  <c:v>133.57518288972392</c:v>
                </c:pt>
                <c:pt idx="25">
                  <c:v>136.41583181201412</c:v>
                </c:pt>
                <c:pt idx="26">
                  <c:v>137.0470871280786</c:v>
                </c:pt>
                <c:pt idx="27">
                  <c:v>138.30959776020759</c:v>
                </c:pt>
                <c:pt idx="28">
                  <c:v>131.05016162546596</c:v>
                </c:pt>
                <c:pt idx="29">
                  <c:v>137.0470871280786</c:v>
                </c:pt>
                <c:pt idx="30">
                  <c:v>131.05016162546596</c:v>
                </c:pt>
                <c:pt idx="31">
                  <c:v>131.68141694153044</c:v>
                </c:pt>
                <c:pt idx="32">
                  <c:v>133.89081054775616</c:v>
                </c:pt>
                <c:pt idx="33">
                  <c:v>136.10020415398188</c:v>
                </c:pt>
                <c:pt idx="34">
                  <c:v>138.62522541823984</c:v>
                </c:pt>
                <c:pt idx="35">
                  <c:v>135.4689488379174</c:v>
                </c:pt>
                <c:pt idx="36">
                  <c:v>137.67834244414308</c:v>
                </c:pt>
                <c:pt idx="37">
                  <c:v>134.83769352185288</c:v>
                </c:pt>
                <c:pt idx="38">
                  <c:v>131.05016162546596</c:v>
                </c:pt>
                <c:pt idx="39">
                  <c:v>131.68141694153044</c:v>
                </c:pt>
                <c:pt idx="40">
                  <c:v>134.52206586382067</c:v>
                </c:pt>
                <c:pt idx="41">
                  <c:v>134.2064382057884</c:v>
                </c:pt>
                <c:pt idx="42">
                  <c:v>136.41583181201412</c:v>
                </c:pt>
                <c:pt idx="43">
                  <c:v>127.89388504514351</c:v>
                </c:pt>
                <c:pt idx="44">
                  <c:v>137.0470871280786</c:v>
                </c:pt>
                <c:pt idx="45">
                  <c:v>140.20336370840107</c:v>
                </c:pt>
                <c:pt idx="46">
                  <c:v>133.25955523169168</c:v>
                </c:pt>
                <c:pt idx="47">
                  <c:v>134.2064382057884</c:v>
                </c:pt>
                <c:pt idx="48">
                  <c:v>133.89081054775616</c:v>
                </c:pt>
                <c:pt idx="49">
                  <c:v>132.62829991562717</c:v>
                </c:pt>
                <c:pt idx="50">
                  <c:v>133.57518288972392</c:v>
                </c:pt>
                <c:pt idx="51">
                  <c:v>134.52206586382067</c:v>
                </c:pt>
                <c:pt idx="52">
                  <c:v>131.68141694153044</c:v>
                </c:pt>
                <c:pt idx="53">
                  <c:v>132.31267225759495</c:v>
                </c:pt>
                <c:pt idx="54">
                  <c:v>138.94085307627208</c:v>
                </c:pt>
                <c:pt idx="55">
                  <c:v>134.2064382057884</c:v>
                </c:pt>
                <c:pt idx="56">
                  <c:v>137.67834244414308</c:v>
                </c:pt>
                <c:pt idx="57">
                  <c:v>132.31267225759495</c:v>
                </c:pt>
                <c:pt idx="58">
                  <c:v>133.57518288972392</c:v>
                </c:pt>
                <c:pt idx="59">
                  <c:v>133.25955523169168</c:v>
                </c:pt>
                <c:pt idx="60">
                  <c:v>130.73453396743372</c:v>
                </c:pt>
                <c:pt idx="61">
                  <c:v>132.31267225759495</c:v>
                </c:pt>
                <c:pt idx="62">
                  <c:v>132.62829991562717</c:v>
                </c:pt>
                <c:pt idx="63">
                  <c:v>138.62522541823984</c:v>
                </c:pt>
                <c:pt idx="64">
                  <c:v>127.26262972907902</c:v>
                </c:pt>
                <c:pt idx="65">
                  <c:v>134.83769352185288</c:v>
                </c:pt>
                <c:pt idx="66">
                  <c:v>136.10020415398188</c:v>
                </c:pt>
                <c:pt idx="67">
                  <c:v>131.99704459956268</c:v>
                </c:pt>
                <c:pt idx="68">
                  <c:v>130.41890630940145</c:v>
                </c:pt>
                <c:pt idx="69">
                  <c:v>129.15639567727249</c:v>
                </c:pt>
                <c:pt idx="70">
                  <c:v>134.2064382057884</c:v>
                </c:pt>
                <c:pt idx="71">
                  <c:v>131.99704459956268</c:v>
                </c:pt>
                <c:pt idx="72">
                  <c:v>131.68141694153044</c:v>
                </c:pt>
                <c:pt idx="73">
                  <c:v>136.10020415398188</c:v>
                </c:pt>
                <c:pt idx="74">
                  <c:v>129.78765099333697</c:v>
                </c:pt>
                <c:pt idx="75">
                  <c:v>132.94392757365944</c:v>
                </c:pt>
                <c:pt idx="76">
                  <c:v>129.78765099333697</c:v>
                </c:pt>
                <c:pt idx="77">
                  <c:v>133.25955523169168</c:v>
                </c:pt>
                <c:pt idx="78">
                  <c:v>138.62522541823984</c:v>
                </c:pt>
                <c:pt idx="79">
                  <c:v>132.31267225759495</c:v>
                </c:pt>
                <c:pt idx="80">
                  <c:v>130.10327865136924</c:v>
                </c:pt>
                <c:pt idx="81">
                  <c:v>133.57518288972392</c:v>
                </c:pt>
                <c:pt idx="82">
                  <c:v>132.62829991562717</c:v>
                </c:pt>
                <c:pt idx="83">
                  <c:v>132.94392757365944</c:v>
                </c:pt>
                <c:pt idx="84">
                  <c:v>135.15332117988515</c:v>
                </c:pt>
                <c:pt idx="85">
                  <c:v>131.3657892834982</c:v>
                </c:pt>
                <c:pt idx="86">
                  <c:v>131.3657892834982</c:v>
                </c:pt>
                <c:pt idx="87">
                  <c:v>132.94392757365944</c:v>
                </c:pt>
                <c:pt idx="88">
                  <c:v>134.2064382057884</c:v>
                </c:pt>
                <c:pt idx="89">
                  <c:v>128.525140361208</c:v>
                </c:pt>
                <c:pt idx="90">
                  <c:v>130.10327865136924</c:v>
                </c:pt>
                <c:pt idx="91">
                  <c:v>131.99704459956268</c:v>
                </c:pt>
                <c:pt idx="92">
                  <c:v>133.89081054775616</c:v>
                </c:pt>
                <c:pt idx="93">
                  <c:v>127.89388504514351</c:v>
                </c:pt>
                <c:pt idx="94">
                  <c:v>132.31267225759495</c:v>
                </c:pt>
                <c:pt idx="95">
                  <c:v>134.83769352185288</c:v>
                </c:pt>
                <c:pt idx="96">
                  <c:v>130.73453396743372</c:v>
                </c:pt>
                <c:pt idx="97">
                  <c:v>133.89081054775616</c:v>
                </c:pt>
                <c:pt idx="98">
                  <c:v>132.31267225759495</c:v>
                </c:pt>
                <c:pt idx="99">
                  <c:v>127.57825738711126</c:v>
                </c:pt>
                <c:pt idx="100">
                  <c:v>131.99704459956268</c:v>
                </c:pt>
                <c:pt idx="101">
                  <c:v>128.84076801924024</c:v>
                </c:pt>
                <c:pt idx="102">
                  <c:v>131.3657892834982</c:v>
                </c:pt>
                <c:pt idx="103">
                  <c:v>126.94700207104678</c:v>
                </c:pt>
                <c:pt idx="104">
                  <c:v>128.525140361208</c:v>
                </c:pt>
                <c:pt idx="105">
                  <c:v>131.05016162546596</c:v>
                </c:pt>
                <c:pt idx="106">
                  <c:v>129.15639567727249</c:v>
                </c:pt>
                <c:pt idx="107">
                  <c:v>131.05016162546596</c:v>
                </c:pt>
                <c:pt idx="108">
                  <c:v>128.525140361208</c:v>
                </c:pt>
                <c:pt idx="109">
                  <c:v>128.84076801924024</c:v>
                </c:pt>
                <c:pt idx="110">
                  <c:v>130.73453396743372</c:v>
                </c:pt>
                <c:pt idx="111">
                  <c:v>126.63137441301453</c:v>
                </c:pt>
                <c:pt idx="112">
                  <c:v>126.31574675498229</c:v>
                </c:pt>
                <c:pt idx="113">
                  <c:v>124.10635314875657</c:v>
                </c:pt>
                <c:pt idx="114">
                  <c:v>131.3657892834982</c:v>
                </c:pt>
                <c:pt idx="115">
                  <c:v>127.57825738711126</c:v>
                </c:pt>
                <c:pt idx="116">
                  <c:v>130.41890630940145</c:v>
                </c:pt>
                <c:pt idx="117">
                  <c:v>124.10635314875657</c:v>
                </c:pt>
                <c:pt idx="118">
                  <c:v>125.68449143891779</c:v>
                </c:pt>
                <c:pt idx="119">
                  <c:v>131.99704459956268</c:v>
                </c:pt>
              </c:numCache>
            </c:numRef>
          </c:yVal>
          <c:smooth val="0"/>
          <c:extLst>
            <c:ext xmlns:c16="http://schemas.microsoft.com/office/drawing/2014/chart" uri="{C3380CC4-5D6E-409C-BE32-E72D297353CC}">
              <c16:uniqueId val="{00000001-68B4-4096-8EE6-A02265AB42EE}"/>
            </c:ext>
          </c:extLst>
        </c:ser>
        <c:dLbls>
          <c:showLegendKey val="0"/>
          <c:showVal val="0"/>
          <c:showCatName val="0"/>
          <c:showSerName val="0"/>
          <c:showPercent val="0"/>
          <c:showBubbleSize val="0"/>
        </c:dLbls>
        <c:axId val="584393696"/>
        <c:axId val="584396576"/>
      </c:scatterChart>
      <c:valAx>
        <c:axId val="584393696"/>
        <c:scaling>
          <c:orientation val="minMax"/>
        </c:scaling>
        <c:delete val="0"/>
        <c:axPos val="b"/>
        <c:title>
          <c:tx>
            <c:rich>
              <a:bodyPr/>
              <a:lstStyle/>
              <a:p>
                <a:pPr>
                  <a:defRPr/>
                </a:pPr>
                <a:r>
                  <a:rPr lang="en-PH"/>
                  <a:t>presys</a:t>
                </a:r>
              </a:p>
            </c:rich>
          </c:tx>
          <c:overlay val="0"/>
        </c:title>
        <c:numFmt formatCode="General" sourceLinked="1"/>
        <c:majorTickMark val="out"/>
        <c:minorTickMark val="none"/>
        <c:tickLblPos val="nextTo"/>
        <c:crossAx val="584396576"/>
        <c:crosses val="autoZero"/>
        <c:crossBetween val="midCat"/>
      </c:valAx>
      <c:valAx>
        <c:axId val="584396576"/>
        <c:scaling>
          <c:orientation val="minMax"/>
        </c:scaling>
        <c:delete val="0"/>
        <c:axPos val="l"/>
        <c:title>
          <c:tx>
            <c:rich>
              <a:bodyPr/>
              <a:lstStyle/>
              <a:p>
                <a:pPr>
                  <a:defRPr/>
                </a:pPr>
                <a:r>
                  <a:rPr lang="en-PH"/>
                  <a:t>postsys</a:t>
                </a:r>
              </a:p>
            </c:rich>
          </c:tx>
          <c:overlay val="0"/>
        </c:title>
        <c:numFmt formatCode="General" sourceLinked="1"/>
        <c:majorTickMark val="out"/>
        <c:minorTickMark val="none"/>
        <c:tickLblPos val="nextTo"/>
        <c:crossAx val="584393696"/>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PH"/>
              <a:t>Normal Probability Plot</a:t>
            </a:r>
          </a:p>
        </c:rich>
      </c:tx>
      <c:overlay val="0"/>
    </c:title>
    <c:autoTitleDeleted val="0"/>
    <c:plotArea>
      <c:layout/>
      <c:scatterChart>
        <c:scatterStyle val="lineMarker"/>
        <c:varyColors val="0"/>
        <c:ser>
          <c:idx val="0"/>
          <c:order val="0"/>
          <c:spPr>
            <a:ln w="38100">
              <a:noFill/>
            </a:ln>
          </c:spPr>
          <c:xVal>
            <c:numRef>
              <c:f>ANCOVA!$W$222:$W$341</c:f>
              <c:numCache>
                <c:formatCode>General</c:formatCode>
                <c:ptCount val="120"/>
                <c:pt idx="0">
                  <c:v>0.41666666666666669</c:v>
                </c:pt>
                <c:pt idx="1">
                  <c:v>1.25</c:v>
                </c:pt>
                <c:pt idx="2">
                  <c:v>2.0833333333333335</c:v>
                </c:pt>
                <c:pt idx="3">
                  <c:v>2.9166666666666665</c:v>
                </c:pt>
                <c:pt idx="4">
                  <c:v>3.75</c:v>
                </c:pt>
                <c:pt idx="5">
                  <c:v>4.5833333333333339</c:v>
                </c:pt>
                <c:pt idx="6">
                  <c:v>5.416666666666667</c:v>
                </c:pt>
                <c:pt idx="7">
                  <c:v>6.2500000000000009</c:v>
                </c:pt>
                <c:pt idx="8">
                  <c:v>7.0833333333333339</c:v>
                </c:pt>
                <c:pt idx="9">
                  <c:v>7.916666666666667</c:v>
                </c:pt>
                <c:pt idx="10">
                  <c:v>8.75</c:v>
                </c:pt>
                <c:pt idx="11">
                  <c:v>9.5833333333333339</c:v>
                </c:pt>
                <c:pt idx="12">
                  <c:v>10.416666666666666</c:v>
                </c:pt>
                <c:pt idx="13">
                  <c:v>11.25</c:v>
                </c:pt>
                <c:pt idx="14">
                  <c:v>12.083333333333334</c:v>
                </c:pt>
                <c:pt idx="15">
                  <c:v>12.916666666666666</c:v>
                </c:pt>
                <c:pt idx="16">
                  <c:v>13.75</c:v>
                </c:pt>
                <c:pt idx="17">
                  <c:v>14.583333333333334</c:v>
                </c:pt>
                <c:pt idx="18">
                  <c:v>15.416666666666666</c:v>
                </c:pt>
                <c:pt idx="19">
                  <c:v>16.25</c:v>
                </c:pt>
                <c:pt idx="20">
                  <c:v>17.083333333333336</c:v>
                </c:pt>
                <c:pt idx="21">
                  <c:v>17.916666666666668</c:v>
                </c:pt>
                <c:pt idx="22">
                  <c:v>18.750000000000004</c:v>
                </c:pt>
                <c:pt idx="23">
                  <c:v>19.583333333333336</c:v>
                </c:pt>
                <c:pt idx="24">
                  <c:v>20.416666666666668</c:v>
                </c:pt>
                <c:pt idx="25">
                  <c:v>21.250000000000004</c:v>
                </c:pt>
                <c:pt idx="26">
                  <c:v>22.083333333333336</c:v>
                </c:pt>
                <c:pt idx="27">
                  <c:v>22.916666666666668</c:v>
                </c:pt>
                <c:pt idx="28">
                  <c:v>23.750000000000004</c:v>
                </c:pt>
                <c:pt idx="29">
                  <c:v>24.583333333333336</c:v>
                </c:pt>
                <c:pt idx="30">
                  <c:v>25.416666666666668</c:v>
                </c:pt>
                <c:pt idx="31">
                  <c:v>26.250000000000004</c:v>
                </c:pt>
                <c:pt idx="32">
                  <c:v>27.083333333333336</c:v>
                </c:pt>
                <c:pt idx="33">
                  <c:v>27.916666666666668</c:v>
                </c:pt>
                <c:pt idx="34">
                  <c:v>28.750000000000004</c:v>
                </c:pt>
                <c:pt idx="35">
                  <c:v>29.583333333333336</c:v>
                </c:pt>
                <c:pt idx="36">
                  <c:v>30.416666666666668</c:v>
                </c:pt>
                <c:pt idx="37">
                  <c:v>31.250000000000004</c:v>
                </c:pt>
                <c:pt idx="38">
                  <c:v>32.083333333333336</c:v>
                </c:pt>
                <c:pt idx="39">
                  <c:v>32.916666666666664</c:v>
                </c:pt>
                <c:pt idx="40">
                  <c:v>33.75</c:v>
                </c:pt>
                <c:pt idx="41">
                  <c:v>34.583333333333336</c:v>
                </c:pt>
                <c:pt idx="42">
                  <c:v>35.416666666666664</c:v>
                </c:pt>
                <c:pt idx="43">
                  <c:v>36.25</c:v>
                </c:pt>
                <c:pt idx="44">
                  <c:v>37.083333333333336</c:v>
                </c:pt>
                <c:pt idx="45">
                  <c:v>37.916666666666664</c:v>
                </c:pt>
                <c:pt idx="46">
                  <c:v>38.75</c:v>
                </c:pt>
                <c:pt idx="47">
                  <c:v>39.583333333333336</c:v>
                </c:pt>
                <c:pt idx="48">
                  <c:v>40.416666666666664</c:v>
                </c:pt>
                <c:pt idx="49">
                  <c:v>41.25</c:v>
                </c:pt>
                <c:pt idx="50">
                  <c:v>42.083333333333336</c:v>
                </c:pt>
                <c:pt idx="51">
                  <c:v>42.916666666666664</c:v>
                </c:pt>
                <c:pt idx="52">
                  <c:v>43.75</c:v>
                </c:pt>
                <c:pt idx="53">
                  <c:v>44.583333333333336</c:v>
                </c:pt>
                <c:pt idx="54">
                  <c:v>45.416666666666664</c:v>
                </c:pt>
                <c:pt idx="55">
                  <c:v>46.25</c:v>
                </c:pt>
                <c:pt idx="56">
                  <c:v>47.083333333333336</c:v>
                </c:pt>
                <c:pt idx="57">
                  <c:v>47.916666666666664</c:v>
                </c:pt>
                <c:pt idx="58">
                  <c:v>48.75</c:v>
                </c:pt>
                <c:pt idx="59">
                  <c:v>49.583333333333336</c:v>
                </c:pt>
                <c:pt idx="60">
                  <c:v>50.416666666666664</c:v>
                </c:pt>
                <c:pt idx="61">
                  <c:v>51.25</c:v>
                </c:pt>
                <c:pt idx="62">
                  <c:v>52.083333333333336</c:v>
                </c:pt>
                <c:pt idx="63">
                  <c:v>52.916666666666664</c:v>
                </c:pt>
                <c:pt idx="64">
                  <c:v>53.75</c:v>
                </c:pt>
                <c:pt idx="65">
                  <c:v>54.583333333333336</c:v>
                </c:pt>
                <c:pt idx="66">
                  <c:v>55.416666666666664</c:v>
                </c:pt>
                <c:pt idx="67">
                  <c:v>56.25</c:v>
                </c:pt>
                <c:pt idx="68">
                  <c:v>57.083333333333336</c:v>
                </c:pt>
                <c:pt idx="69">
                  <c:v>57.916666666666664</c:v>
                </c:pt>
                <c:pt idx="70">
                  <c:v>58.75</c:v>
                </c:pt>
                <c:pt idx="71">
                  <c:v>59.583333333333336</c:v>
                </c:pt>
                <c:pt idx="72">
                  <c:v>60.416666666666664</c:v>
                </c:pt>
                <c:pt idx="73">
                  <c:v>61.25</c:v>
                </c:pt>
                <c:pt idx="74">
                  <c:v>62.083333333333336</c:v>
                </c:pt>
                <c:pt idx="75">
                  <c:v>62.916666666666664</c:v>
                </c:pt>
                <c:pt idx="76">
                  <c:v>63.75</c:v>
                </c:pt>
                <c:pt idx="77">
                  <c:v>64.583333333333343</c:v>
                </c:pt>
                <c:pt idx="78">
                  <c:v>65.416666666666671</c:v>
                </c:pt>
                <c:pt idx="79">
                  <c:v>66.250000000000014</c:v>
                </c:pt>
                <c:pt idx="80">
                  <c:v>67.083333333333343</c:v>
                </c:pt>
                <c:pt idx="81">
                  <c:v>67.916666666666671</c:v>
                </c:pt>
                <c:pt idx="82">
                  <c:v>68.750000000000014</c:v>
                </c:pt>
                <c:pt idx="83">
                  <c:v>69.583333333333343</c:v>
                </c:pt>
                <c:pt idx="84">
                  <c:v>70.416666666666671</c:v>
                </c:pt>
                <c:pt idx="85">
                  <c:v>71.250000000000014</c:v>
                </c:pt>
                <c:pt idx="86">
                  <c:v>72.083333333333343</c:v>
                </c:pt>
                <c:pt idx="87">
                  <c:v>72.916666666666671</c:v>
                </c:pt>
                <c:pt idx="88">
                  <c:v>73.750000000000014</c:v>
                </c:pt>
                <c:pt idx="89">
                  <c:v>74.583333333333343</c:v>
                </c:pt>
                <c:pt idx="90">
                  <c:v>75.416666666666671</c:v>
                </c:pt>
                <c:pt idx="91">
                  <c:v>76.250000000000014</c:v>
                </c:pt>
                <c:pt idx="92">
                  <c:v>77.083333333333343</c:v>
                </c:pt>
                <c:pt idx="93">
                  <c:v>77.916666666666671</c:v>
                </c:pt>
                <c:pt idx="94">
                  <c:v>78.750000000000014</c:v>
                </c:pt>
                <c:pt idx="95">
                  <c:v>79.583333333333343</c:v>
                </c:pt>
                <c:pt idx="96">
                  <c:v>80.416666666666671</c:v>
                </c:pt>
                <c:pt idx="97">
                  <c:v>81.250000000000014</c:v>
                </c:pt>
                <c:pt idx="98">
                  <c:v>82.083333333333343</c:v>
                </c:pt>
                <c:pt idx="99">
                  <c:v>82.916666666666671</c:v>
                </c:pt>
                <c:pt idx="100">
                  <c:v>83.750000000000014</c:v>
                </c:pt>
                <c:pt idx="101">
                  <c:v>84.583333333333343</c:v>
                </c:pt>
                <c:pt idx="102">
                  <c:v>85.416666666666671</c:v>
                </c:pt>
                <c:pt idx="103">
                  <c:v>86.250000000000014</c:v>
                </c:pt>
                <c:pt idx="104">
                  <c:v>87.083333333333343</c:v>
                </c:pt>
                <c:pt idx="105">
                  <c:v>87.916666666666671</c:v>
                </c:pt>
                <c:pt idx="106">
                  <c:v>88.750000000000014</c:v>
                </c:pt>
                <c:pt idx="107">
                  <c:v>89.583333333333343</c:v>
                </c:pt>
                <c:pt idx="108">
                  <c:v>90.416666666666671</c:v>
                </c:pt>
                <c:pt idx="109">
                  <c:v>91.250000000000014</c:v>
                </c:pt>
                <c:pt idx="110">
                  <c:v>92.083333333333343</c:v>
                </c:pt>
                <c:pt idx="111">
                  <c:v>92.916666666666671</c:v>
                </c:pt>
                <c:pt idx="112">
                  <c:v>93.750000000000014</c:v>
                </c:pt>
                <c:pt idx="113">
                  <c:v>94.583333333333343</c:v>
                </c:pt>
                <c:pt idx="114">
                  <c:v>95.416666666666671</c:v>
                </c:pt>
                <c:pt idx="115">
                  <c:v>96.250000000000014</c:v>
                </c:pt>
                <c:pt idx="116">
                  <c:v>97.083333333333343</c:v>
                </c:pt>
                <c:pt idx="117">
                  <c:v>97.916666666666671</c:v>
                </c:pt>
                <c:pt idx="118">
                  <c:v>98.750000000000014</c:v>
                </c:pt>
                <c:pt idx="119">
                  <c:v>99.583333333333343</c:v>
                </c:pt>
              </c:numCache>
            </c:numRef>
          </c:xVal>
          <c:yVal>
            <c:numRef>
              <c:f>ANCOVA!$X$222:$X$341</c:f>
              <c:numCache>
                <c:formatCode>General</c:formatCode>
                <c:ptCount val="120"/>
                <c:pt idx="0">
                  <c:v>120</c:v>
                </c:pt>
                <c:pt idx="1">
                  <c:v>120.5</c:v>
                </c:pt>
                <c:pt idx="2">
                  <c:v>120.5</c:v>
                </c:pt>
                <c:pt idx="3">
                  <c:v>123</c:v>
                </c:pt>
                <c:pt idx="4">
                  <c:v>123</c:v>
                </c:pt>
                <c:pt idx="5">
                  <c:v>124</c:v>
                </c:pt>
                <c:pt idx="6">
                  <c:v>124</c:v>
                </c:pt>
                <c:pt idx="7">
                  <c:v>124</c:v>
                </c:pt>
                <c:pt idx="8">
                  <c:v>124</c:v>
                </c:pt>
                <c:pt idx="9">
                  <c:v>124</c:v>
                </c:pt>
                <c:pt idx="10">
                  <c:v>124.5</c:v>
                </c:pt>
                <c:pt idx="11">
                  <c:v>124.5</c:v>
                </c:pt>
                <c:pt idx="12">
                  <c:v>125</c:v>
                </c:pt>
                <c:pt idx="13">
                  <c:v>126</c:v>
                </c:pt>
                <c:pt idx="14">
                  <c:v>126.5</c:v>
                </c:pt>
                <c:pt idx="15">
                  <c:v>126.5</c:v>
                </c:pt>
                <c:pt idx="16">
                  <c:v>126.5</c:v>
                </c:pt>
                <c:pt idx="17">
                  <c:v>127</c:v>
                </c:pt>
                <c:pt idx="18">
                  <c:v>127</c:v>
                </c:pt>
                <c:pt idx="19">
                  <c:v>127</c:v>
                </c:pt>
                <c:pt idx="20">
                  <c:v>127.5</c:v>
                </c:pt>
                <c:pt idx="21">
                  <c:v>128</c:v>
                </c:pt>
                <c:pt idx="22">
                  <c:v>128</c:v>
                </c:pt>
                <c:pt idx="23">
                  <c:v>128.5</c:v>
                </c:pt>
                <c:pt idx="24">
                  <c:v>128.5</c:v>
                </c:pt>
                <c:pt idx="25">
                  <c:v>128.5</c:v>
                </c:pt>
                <c:pt idx="26">
                  <c:v>128.5</c:v>
                </c:pt>
                <c:pt idx="27">
                  <c:v>129</c:v>
                </c:pt>
                <c:pt idx="28">
                  <c:v>129</c:v>
                </c:pt>
                <c:pt idx="29">
                  <c:v>129.5</c:v>
                </c:pt>
                <c:pt idx="30">
                  <c:v>129.5</c:v>
                </c:pt>
                <c:pt idx="31">
                  <c:v>129.5</c:v>
                </c:pt>
                <c:pt idx="32">
                  <c:v>130</c:v>
                </c:pt>
                <c:pt idx="33">
                  <c:v>130</c:v>
                </c:pt>
                <c:pt idx="34">
                  <c:v>130.5</c:v>
                </c:pt>
                <c:pt idx="35">
                  <c:v>130.5</c:v>
                </c:pt>
                <c:pt idx="36">
                  <c:v>130.5</c:v>
                </c:pt>
                <c:pt idx="37">
                  <c:v>131</c:v>
                </c:pt>
                <c:pt idx="38">
                  <c:v>131</c:v>
                </c:pt>
                <c:pt idx="39">
                  <c:v>131</c:v>
                </c:pt>
                <c:pt idx="40">
                  <c:v>131</c:v>
                </c:pt>
                <c:pt idx="41">
                  <c:v>131</c:v>
                </c:pt>
                <c:pt idx="42">
                  <c:v>131.5</c:v>
                </c:pt>
                <c:pt idx="43">
                  <c:v>131.5</c:v>
                </c:pt>
                <c:pt idx="44">
                  <c:v>131.5</c:v>
                </c:pt>
                <c:pt idx="45">
                  <c:v>132</c:v>
                </c:pt>
                <c:pt idx="46">
                  <c:v>132</c:v>
                </c:pt>
                <c:pt idx="47">
                  <c:v>132</c:v>
                </c:pt>
                <c:pt idx="48">
                  <c:v>132</c:v>
                </c:pt>
                <c:pt idx="49">
                  <c:v>132</c:v>
                </c:pt>
                <c:pt idx="50">
                  <c:v>132</c:v>
                </c:pt>
                <c:pt idx="51">
                  <c:v>132</c:v>
                </c:pt>
                <c:pt idx="52">
                  <c:v>132.5</c:v>
                </c:pt>
                <c:pt idx="53">
                  <c:v>132.5</c:v>
                </c:pt>
                <c:pt idx="54">
                  <c:v>132.5</c:v>
                </c:pt>
                <c:pt idx="55">
                  <c:v>132.5</c:v>
                </c:pt>
                <c:pt idx="56">
                  <c:v>132.5</c:v>
                </c:pt>
                <c:pt idx="57">
                  <c:v>133</c:v>
                </c:pt>
                <c:pt idx="58">
                  <c:v>133</c:v>
                </c:pt>
                <c:pt idx="59">
                  <c:v>133</c:v>
                </c:pt>
                <c:pt idx="60">
                  <c:v>133</c:v>
                </c:pt>
                <c:pt idx="61">
                  <c:v>133.5</c:v>
                </c:pt>
                <c:pt idx="62">
                  <c:v>133.5</c:v>
                </c:pt>
                <c:pt idx="63">
                  <c:v>133.5</c:v>
                </c:pt>
                <c:pt idx="64">
                  <c:v>133.5</c:v>
                </c:pt>
                <c:pt idx="65">
                  <c:v>133.5</c:v>
                </c:pt>
                <c:pt idx="66">
                  <c:v>133.5</c:v>
                </c:pt>
                <c:pt idx="67">
                  <c:v>133.5</c:v>
                </c:pt>
                <c:pt idx="68">
                  <c:v>133.5</c:v>
                </c:pt>
                <c:pt idx="69">
                  <c:v>134</c:v>
                </c:pt>
                <c:pt idx="70">
                  <c:v>134</c:v>
                </c:pt>
                <c:pt idx="71">
                  <c:v>134.5</c:v>
                </c:pt>
                <c:pt idx="72">
                  <c:v>134.5</c:v>
                </c:pt>
                <c:pt idx="73">
                  <c:v>134.5</c:v>
                </c:pt>
                <c:pt idx="74">
                  <c:v>134.5</c:v>
                </c:pt>
                <c:pt idx="75">
                  <c:v>134.5</c:v>
                </c:pt>
                <c:pt idx="76">
                  <c:v>134.5</c:v>
                </c:pt>
                <c:pt idx="77">
                  <c:v>135</c:v>
                </c:pt>
                <c:pt idx="78">
                  <c:v>135</c:v>
                </c:pt>
                <c:pt idx="79">
                  <c:v>136</c:v>
                </c:pt>
                <c:pt idx="80">
                  <c:v>136</c:v>
                </c:pt>
                <c:pt idx="81">
                  <c:v>136</c:v>
                </c:pt>
                <c:pt idx="82">
                  <c:v>136</c:v>
                </c:pt>
                <c:pt idx="83">
                  <c:v>136</c:v>
                </c:pt>
                <c:pt idx="84">
                  <c:v>137</c:v>
                </c:pt>
                <c:pt idx="85">
                  <c:v>137</c:v>
                </c:pt>
                <c:pt idx="86">
                  <c:v>137</c:v>
                </c:pt>
                <c:pt idx="87">
                  <c:v>137.5</c:v>
                </c:pt>
                <c:pt idx="88">
                  <c:v>137.5</c:v>
                </c:pt>
                <c:pt idx="89">
                  <c:v>137.5</c:v>
                </c:pt>
                <c:pt idx="90">
                  <c:v>137.5</c:v>
                </c:pt>
                <c:pt idx="91">
                  <c:v>138</c:v>
                </c:pt>
                <c:pt idx="92">
                  <c:v>138.5</c:v>
                </c:pt>
                <c:pt idx="93">
                  <c:v>138.5</c:v>
                </c:pt>
                <c:pt idx="94">
                  <c:v>138.5</c:v>
                </c:pt>
                <c:pt idx="95">
                  <c:v>139</c:v>
                </c:pt>
                <c:pt idx="96">
                  <c:v>139</c:v>
                </c:pt>
                <c:pt idx="97">
                  <c:v>139.5</c:v>
                </c:pt>
                <c:pt idx="98">
                  <c:v>139.5</c:v>
                </c:pt>
                <c:pt idx="99">
                  <c:v>139.5</c:v>
                </c:pt>
                <c:pt idx="100">
                  <c:v>140</c:v>
                </c:pt>
                <c:pt idx="101">
                  <c:v>140</c:v>
                </c:pt>
                <c:pt idx="102">
                  <c:v>140.5</c:v>
                </c:pt>
                <c:pt idx="103">
                  <c:v>140.5</c:v>
                </c:pt>
                <c:pt idx="104">
                  <c:v>140.5</c:v>
                </c:pt>
                <c:pt idx="105">
                  <c:v>141</c:v>
                </c:pt>
                <c:pt idx="106">
                  <c:v>141.5</c:v>
                </c:pt>
                <c:pt idx="107">
                  <c:v>142</c:v>
                </c:pt>
                <c:pt idx="108">
                  <c:v>142</c:v>
                </c:pt>
                <c:pt idx="109">
                  <c:v>142.5</c:v>
                </c:pt>
                <c:pt idx="110">
                  <c:v>143</c:v>
                </c:pt>
                <c:pt idx="111">
                  <c:v>143</c:v>
                </c:pt>
                <c:pt idx="112">
                  <c:v>143</c:v>
                </c:pt>
                <c:pt idx="113">
                  <c:v>143.5</c:v>
                </c:pt>
                <c:pt idx="114">
                  <c:v>143.5</c:v>
                </c:pt>
                <c:pt idx="115">
                  <c:v>145.5</c:v>
                </c:pt>
                <c:pt idx="116">
                  <c:v>145.5</c:v>
                </c:pt>
                <c:pt idx="117">
                  <c:v>146.5</c:v>
                </c:pt>
                <c:pt idx="118">
                  <c:v>150</c:v>
                </c:pt>
                <c:pt idx="119">
                  <c:v>151.5</c:v>
                </c:pt>
              </c:numCache>
            </c:numRef>
          </c:yVal>
          <c:smooth val="0"/>
          <c:extLst>
            <c:ext xmlns:c16="http://schemas.microsoft.com/office/drawing/2014/chart" uri="{C3380CC4-5D6E-409C-BE32-E72D297353CC}">
              <c16:uniqueId val="{00000000-ECDB-404D-8E5E-F92660FBE0F9}"/>
            </c:ext>
          </c:extLst>
        </c:ser>
        <c:dLbls>
          <c:showLegendKey val="0"/>
          <c:showVal val="0"/>
          <c:showCatName val="0"/>
          <c:showSerName val="0"/>
          <c:showPercent val="0"/>
          <c:showBubbleSize val="0"/>
        </c:dLbls>
        <c:axId val="584380736"/>
        <c:axId val="584398976"/>
      </c:scatterChart>
      <c:valAx>
        <c:axId val="584380736"/>
        <c:scaling>
          <c:orientation val="minMax"/>
        </c:scaling>
        <c:delete val="0"/>
        <c:axPos val="b"/>
        <c:title>
          <c:tx>
            <c:rich>
              <a:bodyPr/>
              <a:lstStyle/>
              <a:p>
                <a:pPr>
                  <a:defRPr/>
                </a:pPr>
                <a:r>
                  <a:rPr lang="en-PH"/>
                  <a:t>Sample Percentile</a:t>
                </a:r>
              </a:p>
            </c:rich>
          </c:tx>
          <c:overlay val="0"/>
        </c:title>
        <c:numFmt formatCode="General" sourceLinked="1"/>
        <c:majorTickMark val="out"/>
        <c:minorTickMark val="none"/>
        <c:tickLblPos val="nextTo"/>
        <c:crossAx val="584398976"/>
        <c:crosses val="autoZero"/>
        <c:crossBetween val="midCat"/>
      </c:valAx>
      <c:valAx>
        <c:axId val="584398976"/>
        <c:scaling>
          <c:orientation val="minMax"/>
        </c:scaling>
        <c:delete val="0"/>
        <c:axPos val="l"/>
        <c:title>
          <c:tx>
            <c:rich>
              <a:bodyPr/>
              <a:lstStyle/>
              <a:p>
                <a:pPr>
                  <a:defRPr/>
                </a:pPr>
                <a:r>
                  <a:rPr lang="en-PH"/>
                  <a:t>postsys</a:t>
                </a:r>
              </a:p>
            </c:rich>
          </c:tx>
          <c:overlay val="0"/>
        </c:title>
        <c:numFmt formatCode="General" sourceLinked="1"/>
        <c:majorTickMark val="out"/>
        <c:minorTickMark val="none"/>
        <c:tickLblPos val="nextTo"/>
        <c:crossAx val="5843807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10</xdr:col>
      <xdr:colOff>388620</xdr:colOff>
      <xdr:row>20</xdr:row>
      <xdr:rowOff>163830</xdr:rowOff>
    </xdr:from>
    <xdr:to>
      <xdr:col>16</xdr:col>
      <xdr:colOff>693420</xdr:colOff>
      <xdr:row>35</xdr:row>
      <xdr:rowOff>163830</xdr:rowOff>
    </xdr:to>
    <xdr:graphicFrame macro="">
      <xdr:nvGraphicFramePr>
        <xdr:cNvPr id="3" name="Chart 2">
          <a:extLst>
            <a:ext uri="{FF2B5EF4-FFF2-40B4-BE49-F238E27FC236}">
              <a16:creationId xmlns:a16="http://schemas.microsoft.com/office/drawing/2014/main" id="{8187F9B3-DD94-2C6C-6C85-B1D80C861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14152</xdr:colOff>
      <xdr:row>39</xdr:row>
      <xdr:rowOff>26893</xdr:rowOff>
    </xdr:from>
    <xdr:to>
      <xdr:col>11</xdr:col>
      <xdr:colOff>1050472</xdr:colOff>
      <xdr:row>42</xdr:row>
      <xdr:rowOff>119743</xdr:rowOff>
    </xdr:to>
    <xdr:sp macro="" textlink="">
      <xdr:nvSpPr>
        <xdr:cNvPr id="4" name="TextBox 3">
          <a:extLst>
            <a:ext uri="{FF2B5EF4-FFF2-40B4-BE49-F238E27FC236}">
              <a16:creationId xmlns:a16="http://schemas.microsoft.com/office/drawing/2014/main" id="{A44FD078-29CB-6082-52EE-016C8D4E5E38}"/>
            </a:ext>
          </a:extLst>
        </xdr:cNvPr>
        <xdr:cNvSpPr txBox="1"/>
      </xdr:nvSpPr>
      <xdr:spPr>
        <a:xfrm>
          <a:off x="2550523" y="7276779"/>
          <a:ext cx="7001692" cy="648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t>One-Way</a:t>
          </a:r>
          <a:r>
            <a:rPr lang="en-PH" sz="1100" b="1" baseline="0"/>
            <a:t> ANOVA</a:t>
          </a:r>
          <a:endParaRPr lang="en-PH" sz="1100" b="1"/>
        </a:p>
        <a:p>
          <a:r>
            <a:rPr lang="en-PH"/>
            <a:t>H0</a:t>
          </a:r>
          <a:r>
            <a:rPr lang="en-PH" sz="1100"/>
            <a:t>: The</a:t>
          </a:r>
          <a:r>
            <a:rPr lang="en-PH" sz="1100" baseline="0"/>
            <a:t> mean time is the same for all types of poison.</a:t>
          </a:r>
        </a:p>
        <a:p>
          <a:r>
            <a:rPr lang="en-PH"/>
            <a:t>H1</a:t>
          </a:r>
          <a:r>
            <a:rPr lang="en-PH" sz="1100" baseline="0"/>
            <a:t>: There is at least one poison that has a mean time that differs from the other types of poison.</a:t>
          </a:r>
          <a:endParaRPr lang="en-PH" sz="1100"/>
        </a:p>
      </xdr:txBody>
    </xdr:sp>
    <xdr:clientData/>
  </xdr:twoCellAnchor>
  <xdr:twoCellAnchor>
    <xdr:from>
      <xdr:col>12</xdr:col>
      <xdr:colOff>617604</xdr:colOff>
      <xdr:row>39</xdr:row>
      <xdr:rowOff>26893</xdr:rowOff>
    </xdr:from>
    <xdr:to>
      <xdr:col>19</xdr:col>
      <xdr:colOff>446314</xdr:colOff>
      <xdr:row>51</xdr:row>
      <xdr:rowOff>70435</xdr:rowOff>
    </xdr:to>
    <xdr:sp macro="" textlink="">
      <xdr:nvSpPr>
        <xdr:cNvPr id="5" name="TextBox 4">
          <a:extLst>
            <a:ext uri="{FF2B5EF4-FFF2-40B4-BE49-F238E27FC236}">
              <a16:creationId xmlns:a16="http://schemas.microsoft.com/office/drawing/2014/main" id="{56B075F1-BE24-45F0-A87F-356D848CD1D5}"/>
            </a:ext>
          </a:extLst>
        </xdr:cNvPr>
        <xdr:cNvSpPr txBox="1"/>
      </xdr:nvSpPr>
      <xdr:spPr>
        <a:xfrm>
          <a:off x="10175261" y="7276779"/>
          <a:ext cx="5315110" cy="226422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t>Two-Way</a:t>
          </a:r>
          <a:r>
            <a:rPr lang="en-PH" sz="1100" b="1" baseline="0"/>
            <a:t> ANOVA</a:t>
          </a:r>
        </a:p>
        <a:p>
          <a:r>
            <a:rPr lang="en-PH" sz="1100" b="1"/>
            <a:t>Poison</a:t>
          </a:r>
        </a:p>
        <a:p>
          <a:r>
            <a:rPr lang="en-PH"/>
            <a:t>H0</a:t>
          </a:r>
          <a:r>
            <a:rPr lang="en-PH" sz="1100"/>
            <a:t>: The</a:t>
          </a:r>
          <a:r>
            <a:rPr lang="en-PH" sz="1100" baseline="0"/>
            <a:t> mean time is the same for all types of poison.</a:t>
          </a:r>
        </a:p>
        <a:p>
          <a:r>
            <a:rPr lang="en-PH"/>
            <a:t>H1</a:t>
          </a:r>
          <a:r>
            <a:rPr lang="en-PH" sz="1100" baseline="0"/>
            <a:t>: There is at least one poison that has a mean time different from other types of poison.</a:t>
          </a:r>
        </a:p>
        <a:p>
          <a:endParaRPr lang="en-PH" sz="1100" baseline="0"/>
        </a:p>
        <a:p>
          <a:r>
            <a:rPr lang="en-PH" sz="1100" b="1">
              <a:solidFill>
                <a:schemeClr val="dk1"/>
              </a:solidFill>
              <a:effectLst/>
              <a:latin typeface="+mn-lt"/>
              <a:ea typeface="+mn-ea"/>
              <a:cs typeface="+mn-cs"/>
            </a:rPr>
            <a:t>Treat/Treament</a:t>
          </a:r>
          <a:endParaRPr lang="en-PH">
            <a:effectLst/>
          </a:endParaRPr>
        </a:p>
        <a:p>
          <a:r>
            <a:rPr lang="en-PH" sz="1100">
              <a:solidFill>
                <a:schemeClr val="dk1"/>
              </a:solidFill>
              <a:effectLst/>
              <a:latin typeface="+mn-lt"/>
              <a:ea typeface="+mn-ea"/>
              <a:cs typeface="+mn-cs"/>
            </a:rPr>
            <a:t>H0: The</a:t>
          </a:r>
          <a:r>
            <a:rPr lang="en-PH" sz="1100" baseline="0">
              <a:solidFill>
                <a:schemeClr val="dk1"/>
              </a:solidFill>
              <a:effectLst/>
              <a:latin typeface="+mn-lt"/>
              <a:ea typeface="+mn-ea"/>
              <a:cs typeface="+mn-cs"/>
            </a:rPr>
            <a:t> mean time is the same for all types of treament.</a:t>
          </a:r>
          <a:endParaRPr lang="en-PH">
            <a:effectLst/>
          </a:endParaRPr>
        </a:p>
        <a:p>
          <a:r>
            <a:rPr lang="en-PH" sz="1100">
              <a:solidFill>
                <a:schemeClr val="dk1"/>
              </a:solidFill>
              <a:effectLst/>
              <a:latin typeface="+mn-lt"/>
              <a:ea typeface="+mn-ea"/>
              <a:cs typeface="+mn-cs"/>
            </a:rPr>
            <a:t>H1</a:t>
          </a:r>
          <a:r>
            <a:rPr lang="en-PH" sz="1100" baseline="0">
              <a:solidFill>
                <a:schemeClr val="dk1"/>
              </a:solidFill>
              <a:effectLst/>
              <a:latin typeface="+mn-lt"/>
              <a:ea typeface="+mn-ea"/>
              <a:cs typeface="+mn-cs"/>
            </a:rPr>
            <a:t>: There is at least one treatment that has a mean time different from other types of treatment.</a:t>
          </a:r>
        </a:p>
        <a:p>
          <a:endParaRPr lang="en-PH" sz="1100" baseline="0">
            <a:solidFill>
              <a:schemeClr val="dk1"/>
            </a:solidFill>
            <a:effectLst/>
            <a:latin typeface="+mn-lt"/>
            <a:ea typeface="+mn-ea"/>
            <a:cs typeface="+mn-cs"/>
          </a:endParaRPr>
        </a:p>
        <a:p>
          <a:r>
            <a:rPr lang="en-PH" sz="1100" b="1" baseline="0">
              <a:solidFill>
                <a:schemeClr val="dk1"/>
              </a:solidFill>
              <a:effectLst/>
              <a:latin typeface="+mn-lt"/>
              <a:ea typeface="+mn-ea"/>
              <a:cs typeface="+mn-cs"/>
            </a:rPr>
            <a:t>Interaction</a:t>
          </a:r>
          <a:endParaRPr lang="en-PH" b="1">
            <a:effectLst/>
          </a:endParaRPr>
        </a:p>
        <a:p>
          <a:r>
            <a:rPr lang="en-PH" sz="1100">
              <a:solidFill>
                <a:schemeClr val="dk1"/>
              </a:solidFill>
              <a:effectLst/>
              <a:latin typeface="+mn-lt"/>
              <a:ea typeface="+mn-ea"/>
              <a:cs typeface="+mn-cs"/>
            </a:rPr>
            <a:t>H0: The</a:t>
          </a:r>
          <a:r>
            <a:rPr lang="en-PH" sz="1100" baseline="0">
              <a:solidFill>
                <a:schemeClr val="dk1"/>
              </a:solidFill>
              <a:effectLst/>
              <a:latin typeface="+mn-lt"/>
              <a:ea typeface="+mn-ea"/>
              <a:cs typeface="+mn-cs"/>
            </a:rPr>
            <a:t> effect of treatment does not depend on the poison.</a:t>
          </a:r>
          <a:endParaRPr lang="en-PH">
            <a:effectLst/>
          </a:endParaRPr>
        </a:p>
        <a:p>
          <a:r>
            <a:rPr lang="en-PH" sz="1100">
              <a:solidFill>
                <a:schemeClr val="dk1"/>
              </a:solidFill>
              <a:effectLst/>
              <a:latin typeface="+mn-lt"/>
              <a:ea typeface="+mn-ea"/>
              <a:cs typeface="+mn-cs"/>
            </a:rPr>
            <a:t>H1</a:t>
          </a:r>
          <a:r>
            <a:rPr lang="en-PH" sz="1100" baseline="0">
              <a:solidFill>
                <a:schemeClr val="dk1"/>
              </a:solidFill>
              <a:effectLst/>
              <a:latin typeface="+mn-lt"/>
              <a:ea typeface="+mn-ea"/>
              <a:cs typeface="+mn-cs"/>
            </a:rPr>
            <a:t>: The effect of treatment does depend on the poison.</a:t>
          </a:r>
          <a:endParaRPr lang="en-PH">
            <a:effectLst/>
          </a:endParaRPr>
        </a:p>
        <a:p>
          <a:endParaRPr lang="en-PH" sz="1100"/>
        </a:p>
      </xdr:txBody>
    </xdr:sp>
    <xdr:clientData/>
  </xdr:twoCellAnchor>
  <xdr:twoCellAnchor>
    <xdr:from>
      <xdr:col>5</xdr:col>
      <xdr:colOff>0</xdr:colOff>
      <xdr:row>79</xdr:row>
      <xdr:rowOff>0</xdr:rowOff>
    </xdr:from>
    <xdr:to>
      <xdr:col>11</xdr:col>
      <xdr:colOff>1036320</xdr:colOff>
      <xdr:row>83</xdr:row>
      <xdr:rowOff>97971</xdr:rowOff>
    </xdr:to>
    <xdr:sp macro="" textlink="">
      <xdr:nvSpPr>
        <xdr:cNvPr id="2" name="TextBox 1">
          <a:extLst>
            <a:ext uri="{FF2B5EF4-FFF2-40B4-BE49-F238E27FC236}">
              <a16:creationId xmlns:a16="http://schemas.microsoft.com/office/drawing/2014/main" id="{26A0F238-3DA6-4CA6-A81D-086C37D5D6A2}"/>
            </a:ext>
          </a:extLst>
        </xdr:cNvPr>
        <xdr:cNvSpPr txBox="1"/>
      </xdr:nvSpPr>
      <xdr:spPr>
        <a:xfrm>
          <a:off x="2521527" y="14339455"/>
          <a:ext cx="6993775" cy="832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mn-lt"/>
              <a:ea typeface="Cambria Math" panose="02040503050406030204" pitchFamily="18" charset="0"/>
            </a:rPr>
            <a:t>F</a:t>
          </a:r>
          <a:r>
            <a:rPr lang="en-PH" sz="1100" baseline="0">
              <a:latin typeface="+mn-lt"/>
              <a:ea typeface="Cambria Math" panose="02040503050406030204" pitchFamily="18" charset="0"/>
            </a:rPr>
            <a:t> =  </a:t>
          </a:r>
          <a:r>
            <a:rPr lang="en-PH" sz="1100" b="0" i="0" u="none" strike="noStrike">
              <a:solidFill>
                <a:schemeClr val="dk1"/>
              </a:solidFill>
              <a:effectLst/>
              <a:latin typeface="+mn-lt"/>
              <a:ea typeface="Cambria Math" panose="02040503050406030204" pitchFamily="18" charset="0"/>
              <a:cs typeface="+mn-cs"/>
            </a:rPr>
            <a:t>11.7859893322684</a:t>
          </a:r>
          <a:r>
            <a:rPr lang="en-PH">
              <a:effectLst/>
              <a:latin typeface="+mn-lt"/>
              <a:ea typeface="Cambria Math" panose="02040503050406030204" pitchFamily="18" charset="0"/>
            </a:rPr>
            <a:t> </a:t>
          </a:r>
        </a:p>
        <a:p>
          <a:r>
            <a:rPr lang="en-PH" sz="1100">
              <a:effectLst/>
              <a:latin typeface="+mn-lt"/>
              <a:ea typeface="Cambria Math" panose="02040503050406030204" pitchFamily="18" charset="0"/>
            </a:rPr>
            <a:t>F crit = 3.20431729211419</a:t>
          </a:r>
        </a:p>
        <a:p>
          <a:r>
            <a:rPr lang="en-PH" sz="1100">
              <a:effectLst/>
              <a:latin typeface="+mn-lt"/>
              <a:ea typeface="Cambria Math" panose="02040503050406030204" pitchFamily="18" charset="0"/>
            </a:rPr>
            <a:t>P-value</a:t>
          </a:r>
          <a:r>
            <a:rPr lang="en-PH" sz="1100" baseline="0">
              <a:effectLst/>
              <a:latin typeface="+mn-lt"/>
              <a:ea typeface="Cambria Math" panose="02040503050406030204" pitchFamily="18" charset="0"/>
            </a:rPr>
            <a:t> = 0.0000765563518517592</a:t>
          </a:r>
        </a:p>
        <a:p>
          <a:r>
            <a:rPr lang="en-PH" sz="1100" baseline="0">
              <a:effectLst/>
              <a:latin typeface="+mn-lt"/>
              <a:ea typeface="Cambria Math" panose="02040503050406030204" pitchFamily="18" charset="0"/>
            </a:rPr>
            <a:t>alpha  = 0.05</a:t>
          </a:r>
          <a:endParaRPr lang="en-PH" sz="1100">
            <a:effectLst/>
            <a:latin typeface="+mn-lt"/>
            <a:ea typeface="Cambria Math" panose="02040503050406030204" pitchFamily="18" charset="0"/>
          </a:endParaRPr>
        </a:p>
      </xdr:txBody>
    </xdr:sp>
    <xdr:clientData/>
  </xdr:twoCellAnchor>
  <xdr:twoCellAnchor>
    <xdr:from>
      <xdr:col>5</xdr:col>
      <xdr:colOff>0</xdr:colOff>
      <xdr:row>84</xdr:row>
      <xdr:rowOff>163286</xdr:rowOff>
    </xdr:from>
    <xdr:to>
      <xdr:col>11</xdr:col>
      <xdr:colOff>1036320</xdr:colOff>
      <xdr:row>90</xdr:row>
      <xdr:rowOff>124691</xdr:rowOff>
    </xdr:to>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2BBEECCC-1D65-4DE2-B2EF-A8A889B6B037}"/>
                </a:ext>
              </a:extLst>
            </xdr:cNvPr>
            <xdr:cNvSpPr txBox="1"/>
          </xdr:nvSpPr>
          <xdr:spPr>
            <a:xfrm>
              <a:off x="2521527" y="15417141"/>
              <a:ext cx="6993775" cy="1055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a:rPr lang="en-PH" sz="1600" i="1" baseline="0">
                      <a:solidFill>
                        <a:schemeClr val="dk1"/>
                      </a:solidFill>
                      <a:effectLst/>
                      <a:latin typeface="Cambria Math" panose="02040503050406030204" pitchFamily="18" charset="0"/>
                      <a:ea typeface="Cambria Math" panose="02040503050406030204" pitchFamily="18" charset="0"/>
                      <a:cs typeface="+mn-cs"/>
                    </a:rPr>
                    <m:t>0.000076</m:t>
                  </m:r>
                  <m:r>
                    <a:rPr lang="en-US" sz="1600" b="0" i="1" baseline="0">
                      <a:solidFill>
                        <a:schemeClr val="dk1"/>
                      </a:solidFill>
                      <a:effectLst/>
                      <a:latin typeface="Cambria Math" panose="02040503050406030204" pitchFamily="18" charset="0"/>
                      <a:ea typeface="Cambria Math" panose="02040503050406030204" pitchFamily="18" charset="0"/>
                      <a:cs typeface="+mn-cs"/>
                    </a:rPr>
                    <m:t>6 ≤0.05</m:t>
                  </m:r>
                </m:oMath>
              </a14:m>
              <a:r>
                <a:rPr lang="en-PH" sz="1600">
                  <a:latin typeface="Cambria Math" panose="02040503050406030204" pitchFamily="18" charset="0"/>
                  <a:ea typeface="Cambria Math" panose="02040503050406030204" pitchFamily="18" charset="0"/>
                </a:rPr>
                <a:t> </a:t>
              </a:r>
            </a:p>
            <a:p>
              <a:pPr algn="ct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there is at least one poison that has a mean time that differs from other types of poison.</a:t>
              </a:r>
            </a:p>
          </xdr:txBody>
        </xdr:sp>
      </mc:Choice>
      <mc:Fallback>
        <xdr:sp macro="" textlink="">
          <xdr:nvSpPr>
            <xdr:cNvPr id="6" name="TextBox 5">
              <a:extLst>
                <a:ext uri="{FF2B5EF4-FFF2-40B4-BE49-F238E27FC236}">
                  <a16:creationId xmlns:a16="http://schemas.microsoft.com/office/drawing/2014/main" id="{2BBEECCC-1D65-4DE2-B2EF-A8A889B6B037}"/>
                </a:ext>
              </a:extLst>
            </xdr:cNvPr>
            <xdr:cNvSpPr txBox="1"/>
          </xdr:nvSpPr>
          <xdr:spPr>
            <a:xfrm>
              <a:off x="2521527" y="15417141"/>
              <a:ext cx="6993775" cy="1055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i="0" baseline="0">
                  <a:solidFill>
                    <a:schemeClr val="dk1"/>
                  </a:solidFill>
                  <a:effectLst/>
                  <a:latin typeface="Cambria Math" panose="02040503050406030204" pitchFamily="18" charset="0"/>
                  <a:ea typeface="Cambria Math" panose="02040503050406030204" pitchFamily="18" charset="0"/>
                  <a:cs typeface="+mn-cs"/>
                </a:rPr>
                <a:t>0.000076</a:t>
              </a:r>
              <a:r>
                <a:rPr lang="en-US" sz="1600" b="0" i="0" baseline="0">
                  <a:solidFill>
                    <a:schemeClr val="dk1"/>
                  </a:solidFill>
                  <a:effectLst/>
                  <a:latin typeface="Cambria Math" panose="02040503050406030204" pitchFamily="18" charset="0"/>
                  <a:ea typeface="Cambria Math" panose="02040503050406030204" pitchFamily="18" charset="0"/>
                  <a:cs typeface="+mn-cs"/>
                </a:rPr>
                <a:t>6 ≤0.05</a:t>
              </a:r>
              <a:r>
                <a:rPr lang="en-PH" sz="1600">
                  <a:latin typeface="Cambria Math" panose="02040503050406030204" pitchFamily="18" charset="0"/>
                  <a:ea typeface="Cambria Math" panose="02040503050406030204" pitchFamily="18" charset="0"/>
                </a:rPr>
                <a:t> </a:t>
              </a:r>
            </a:p>
            <a:p>
              <a:pPr algn="ct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there is at least one poison that has a mean time that differs from other types of poison.</a:t>
              </a:r>
            </a:p>
          </xdr:txBody>
        </xdr:sp>
      </mc:Fallback>
    </mc:AlternateContent>
    <xdr:clientData/>
  </xdr:twoCellAnchor>
  <xdr:twoCellAnchor>
    <xdr:from>
      <xdr:col>8</xdr:col>
      <xdr:colOff>554181</xdr:colOff>
      <xdr:row>91</xdr:row>
      <xdr:rowOff>138545</xdr:rowOff>
    </xdr:from>
    <xdr:to>
      <xdr:col>11</xdr:col>
      <xdr:colOff>443346</xdr:colOff>
      <xdr:row>96</xdr:row>
      <xdr:rowOff>124691</xdr:rowOff>
    </xdr:to>
    <xdr:sp macro="" textlink="">
      <xdr:nvSpPr>
        <xdr:cNvPr id="7" name="TextBox 6">
          <a:extLst>
            <a:ext uri="{FF2B5EF4-FFF2-40B4-BE49-F238E27FC236}">
              <a16:creationId xmlns:a16="http://schemas.microsoft.com/office/drawing/2014/main" id="{CB83F7D3-9AC5-4B0B-8229-E373EB5ACFF6}"/>
            </a:ext>
          </a:extLst>
        </xdr:cNvPr>
        <xdr:cNvSpPr txBox="1"/>
      </xdr:nvSpPr>
      <xdr:spPr>
        <a:xfrm>
          <a:off x="7813963" y="16680872"/>
          <a:ext cx="2715492" cy="928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200">
              <a:latin typeface="+mn-lt"/>
              <a:ea typeface="Cambria Math" panose="02040503050406030204" pitchFamily="18" charset="0"/>
            </a:rPr>
            <a:t>Poison 3 has</a:t>
          </a:r>
          <a:r>
            <a:rPr lang="en-PH" sz="1200" baseline="0">
              <a:latin typeface="+mn-lt"/>
              <a:ea typeface="Cambria Math" panose="02040503050406030204" pitchFamily="18" charset="0"/>
            </a:rPr>
            <a:t> a significantly different mean time compared to poison 1 and poison 2. Poison 1 and poison 2 are not significantly different from each other.</a:t>
          </a:r>
          <a:endParaRPr lang="en-PH" sz="1200">
            <a:latin typeface="+mn-lt"/>
            <a:ea typeface="Cambria Math" panose="02040503050406030204" pitchFamily="18" charset="0"/>
          </a:endParaRPr>
        </a:p>
      </xdr:txBody>
    </xdr:sp>
    <xdr:clientData/>
  </xdr:twoCellAnchor>
  <xdr:twoCellAnchor>
    <xdr:from>
      <xdr:col>13</xdr:col>
      <xdr:colOff>1</xdr:colOff>
      <xdr:row>116</xdr:row>
      <xdr:rowOff>0</xdr:rowOff>
    </xdr:from>
    <xdr:to>
      <xdr:col>19</xdr:col>
      <xdr:colOff>707573</xdr:colOff>
      <xdr:row>121</xdr:row>
      <xdr:rowOff>65314</xdr:rowOff>
    </xdr:to>
    <xdr:sp macro="" textlink="">
      <xdr:nvSpPr>
        <xdr:cNvPr id="8" name="TextBox 7">
          <a:extLst>
            <a:ext uri="{FF2B5EF4-FFF2-40B4-BE49-F238E27FC236}">
              <a16:creationId xmlns:a16="http://schemas.microsoft.com/office/drawing/2014/main" id="{08A7FA63-2F46-4EFC-AB88-918135879E67}"/>
            </a:ext>
          </a:extLst>
        </xdr:cNvPr>
        <xdr:cNvSpPr txBox="1"/>
      </xdr:nvSpPr>
      <xdr:spPr>
        <a:xfrm>
          <a:off x="11734801" y="21662571"/>
          <a:ext cx="7402286" cy="1012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latin typeface="+mn-lt"/>
              <a:ea typeface="Cambria Math" panose="02040503050406030204" pitchFamily="18" charset="0"/>
            </a:rPr>
            <a:t>Treat</a:t>
          </a:r>
        </a:p>
        <a:p>
          <a:r>
            <a:rPr lang="en-PH" sz="1100">
              <a:latin typeface="+mn-lt"/>
              <a:ea typeface="Cambria Math" panose="02040503050406030204" pitchFamily="18" charset="0"/>
            </a:rPr>
            <a:t>F</a:t>
          </a:r>
          <a:r>
            <a:rPr lang="en-PH" sz="1100" baseline="0">
              <a:latin typeface="+mn-lt"/>
              <a:ea typeface="Cambria Math" panose="02040503050406030204" pitchFamily="18" charset="0"/>
            </a:rPr>
            <a:t> =  </a:t>
          </a:r>
          <a:r>
            <a:rPr lang="en-PH" sz="1100" b="0" i="0" u="none" strike="noStrike">
              <a:solidFill>
                <a:schemeClr val="dk1"/>
              </a:solidFill>
              <a:effectLst/>
              <a:latin typeface="+mn-lt"/>
              <a:ea typeface="Cambria Math" panose="02040503050406030204" pitchFamily="18" charset="0"/>
              <a:cs typeface="+mn-cs"/>
            </a:rPr>
            <a:t>13.8055824409129</a:t>
          </a:r>
        </a:p>
        <a:p>
          <a:r>
            <a:rPr lang="en-PH" sz="1100">
              <a:effectLst/>
              <a:latin typeface="+mn-lt"/>
              <a:ea typeface="Cambria Math" panose="02040503050406030204" pitchFamily="18" charset="0"/>
            </a:rPr>
            <a:t>F crit = 2.86626555094018</a:t>
          </a:r>
        </a:p>
        <a:p>
          <a:r>
            <a:rPr lang="en-PH" sz="1100">
              <a:effectLst/>
              <a:latin typeface="+mn-lt"/>
              <a:ea typeface="Cambria Math" panose="02040503050406030204" pitchFamily="18" charset="0"/>
            </a:rPr>
            <a:t>P-value</a:t>
          </a:r>
          <a:r>
            <a:rPr lang="en-PH" sz="1100" baseline="0">
              <a:effectLst/>
              <a:latin typeface="+mn-lt"/>
              <a:ea typeface="Cambria Math" panose="02040503050406030204" pitchFamily="18" charset="0"/>
            </a:rPr>
            <a:t> = 0.0000037773305759207</a:t>
          </a:r>
        </a:p>
        <a:p>
          <a:r>
            <a:rPr lang="en-PH" sz="1100" baseline="0">
              <a:effectLst/>
              <a:latin typeface="+mn-lt"/>
              <a:ea typeface="Cambria Math" panose="02040503050406030204" pitchFamily="18" charset="0"/>
            </a:rPr>
            <a:t>alpha  = 0.05</a:t>
          </a:r>
          <a:endParaRPr lang="en-PH" sz="1100">
            <a:effectLst/>
            <a:latin typeface="+mn-lt"/>
            <a:ea typeface="Cambria Math" panose="02040503050406030204" pitchFamily="18" charset="0"/>
          </a:endParaRPr>
        </a:p>
      </xdr:txBody>
    </xdr:sp>
    <xdr:clientData/>
  </xdr:twoCellAnchor>
  <xdr:twoCellAnchor>
    <xdr:from>
      <xdr:col>13</xdr:col>
      <xdr:colOff>0</xdr:colOff>
      <xdr:row>122</xdr:row>
      <xdr:rowOff>0</xdr:rowOff>
    </xdr:from>
    <xdr:to>
      <xdr:col>19</xdr:col>
      <xdr:colOff>653143</xdr:colOff>
      <xdr:row>127</xdr:row>
      <xdr:rowOff>157348</xdr:rowOff>
    </xdr:to>
    <mc:AlternateContent xmlns:mc="http://schemas.openxmlformats.org/markup-compatibility/2006">
      <mc:Choice xmlns:a14="http://schemas.microsoft.com/office/drawing/2010/main" Requires="a14">
        <xdr:sp macro="" textlink="">
          <xdr:nvSpPr>
            <xdr:cNvPr id="9" name="TextBox 8">
              <a:extLst>
                <a:ext uri="{FF2B5EF4-FFF2-40B4-BE49-F238E27FC236}">
                  <a16:creationId xmlns:a16="http://schemas.microsoft.com/office/drawing/2014/main" id="{968670FA-3F52-470A-AEB8-E870D170A24B}"/>
                </a:ext>
              </a:extLst>
            </xdr:cNvPr>
            <xdr:cNvSpPr txBox="1"/>
          </xdr:nvSpPr>
          <xdr:spPr>
            <a:xfrm>
              <a:off x="11734800" y="22794686"/>
              <a:ext cx="7347857" cy="1104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a:rPr lang="en-PH" sz="1600" i="1" baseline="0">
                      <a:solidFill>
                        <a:schemeClr val="dk1"/>
                      </a:solidFill>
                      <a:effectLst/>
                      <a:latin typeface="Cambria Math" panose="02040503050406030204" pitchFamily="18" charset="0"/>
                      <a:ea typeface="Cambria Math" panose="02040503050406030204" pitchFamily="18" charset="0"/>
                      <a:cs typeface="+mn-cs"/>
                    </a:rPr>
                    <m:t>0.0000037</m:t>
                  </m:r>
                  <m:r>
                    <a:rPr lang="en-US" sz="1600" b="0" i="1" baseline="0">
                      <a:solidFill>
                        <a:schemeClr val="dk1"/>
                      </a:solidFill>
                      <a:effectLst/>
                      <a:latin typeface="Cambria Math" panose="02040503050406030204" pitchFamily="18" charset="0"/>
                      <a:ea typeface="Cambria Math" panose="02040503050406030204" pitchFamily="18" charset="0"/>
                      <a:cs typeface="+mn-cs"/>
                    </a:rPr>
                    <m:t>8≤0.05</m:t>
                  </m:r>
                </m:oMath>
              </a14:m>
              <a:r>
                <a:rPr lang="en-PH" sz="1600">
                  <a:latin typeface="Cambria Math" panose="02040503050406030204" pitchFamily="18" charset="0"/>
                  <a:ea typeface="Cambria Math" panose="02040503050406030204" pitchFamily="18" charset="0"/>
                </a:rPr>
                <a:t> </a:t>
              </a:r>
            </a:p>
            <a:p>
              <a:pPr algn="ctr"/>
              <a:endParaRPr lang="en-PH" sz="1200">
                <a:latin typeface="+mn-lt"/>
                <a:ea typeface="Cambria Math" panose="020405030504060302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PH" sz="1200">
                  <a:latin typeface="+mn-lt"/>
                  <a:ea typeface="Cambria Math" panose="02040503050406030204" pitchFamily="18" charset="0"/>
                </a:rPr>
                <a:t>This means we have sufficient evidence to say that </a:t>
              </a:r>
              <a:r>
                <a:rPr lang="en-PH" sz="1200" baseline="0">
                  <a:solidFill>
                    <a:schemeClr val="dk1"/>
                  </a:solidFill>
                  <a:effectLst/>
                  <a:latin typeface="+mn-lt"/>
                  <a:ea typeface="+mn-ea"/>
                  <a:cs typeface="+mn-cs"/>
                </a:rPr>
                <a:t>there is at least one treatment that has a mean time different from other types of treatment.</a:t>
              </a:r>
              <a:endParaRPr lang="en-PH" sz="1200">
                <a:effectLst/>
              </a:endParaRPr>
            </a:p>
          </xdr:txBody>
        </xdr:sp>
      </mc:Choice>
      <mc:Fallback>
        <xdr:sp macro="" textlink="">
          <xdr:nvSpPr>
            <xdr:cNvPr id="9" name="TextBox 8">
              <a:extLst>
                <a:ext uri="{FF2B5EF4-FFF2-40B4-BE49-F238E27FC236}">
                  <a16:creationId xmlns:a16="http://schemas.microsoft.com/office/drawing/2014/main" id="{968670FA-3F52-470A-AEB8-E870D170A24B}"/>
                </a:ext>
              </a:extLst>
            </xdr:cNvPr>
            <xdr:cNvSpPr txBox="1"/>
          </xdr:nvSpPr>
          <xdr:spPr>
            <a:xfrm>
              <a:off x="11734800" y="22794686"/>
              <a:ext cx="7347857" cy="1104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i="0" baseline="0">
                  <a:solidFill>
                    <a:schemeClr val="dk1"/>
                  </a:solidFill>
                  <a:effectLst/>
                  <a:latin typeface="Cambria Math" panose="02040503050406030204" pitchFamily="18" charset="0"/>
                  <a:ea typeface="Cambria Math" panose="02040503050406030204" pitchFamily="18" charset="0"/>
                  <a:cs typeface="+mn-cs"/>
                </a:rPr>
                <a:t>0.0000037</a:t>
              </a:r>
              <a:r>
                <a:rPr lang="en-US" sz="1600" b="0" i="0" baseline="0">
                  <a:solidFill>
                    <a:schemeClr val="dk1"/>
                  </a:solidFill>
                  <a:effectLst/>
                  <a:latin typeface="Cambria Math" panose="02040503050406030204" pitchFamily="18" charset="0"/>
                  <a:ea typeface="Cambria Math" panose="02040503050406030204" pitchFamily="18" charset="0"/>
                  <a:cs typeface="+mn-cs"/>
                </a:rPr>
                <a:t>8≤0.05</a:t>
              </a:r>
              <a:r>
                <a:rPr lang="en-PH" sz="1600">
                  <a:latin typeface="Cambria Math" panose="02040503050406030204" pitchFamily="18" charset="0"/>
                  <a:ea typeface="Cambria Math" panose="02040503050406030204" pitchFamily="18" charset="0"/>
                </a:rPr>
                <a:t> </a:t>
              </a:r>
            </a:p>
            <a:p>
              <a:pPr algn="ctr"/>
              <a:endParaRPr lang="en-PH" sz="1200">
                <a:latin typeface="+mn-lt"/>
                <a:ea typeface="Cambria Math" panose="020405030504060302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PH" sz="1200">
                  <a:latin typeface="+mn-lt"/>
                  <a:ea typeface="Cambria Math" panose="02040503050406030204" pitchFamily="18" charset="0"/>
                </a:rPr>
                <a:t>This means we have sufficient evidence to say that </a:t>
              </a:r>
              <a:r>
                <a:rPr lang="en-PH" sz="1200" baseline="0">
                  <a:solidFill>
                    <a:schemeClr val="dk1"/>
                  </a:solidFill>
                  <a:effectLst/>
                  <a:latin typeface="+mn-lt"/>
                  <a:ea typeface="+mn-ea"/>
                  <a:cs typeface="+mn-cs"/>
                </a:rPr>
                <a:t>there is at least one treatment that has a mean time different from other types of treatment.</a:t>
              </a:r>
              <a:endParaRPr lang="en-PH" sz="1200">
                <a:effectLst/>
              </a:endParaRPr>
            </a:p>
          </xdr:txBody>
        </xdr:sp>
      </mc:Fallback>
    </mc:AlternateContent>
    <xdr:clientData/>
  </xdr:twoCellAnchor>
  <xdr:twoCellAnchor>
    <xdr:from>
      <xdr:col>13</xdr:col>
      <xdr:colOff>1</xdr:colOff>
      <xdr:row>129</xdr:row>
      <xdr:rowOff>0</xdr:rowOff>
    </xdr:from>
    <xdr:to>
      <xdr:col>19</xdr:col>
      <xdr:colOff>707573</xdr:colOff>
      <xdr:row>134</xdr:row>
      <xdr:rowOff>65314</xdr:rowOff>
    </xdr:to>
    <xdr:sp macro="" textlink="">
      <xdr:nvSpPr>
        <xdr:cNvPr id="10" name="TextBox 9">
          <a:extLst>
            <a:ext uri="{FF2B5EF4-FFF2-40B4-BE49-F238E27FC236}">
              <a16:creationId xmlns:a16="http://schemas.microsoft.com/office/drawing/2014/main" id="{23F1BB97-5841-4D0A-9111-A5904B04D355}"/>
            </a:ext>
          </a:extLst>
        </xdr:cNvPr>
        <xdr:cNvSpPr txBox="1"/>
      </xdr:nvSpPr>
      <xdr:spPr>
        <a:xfrm>
          <a:off x="11734801" y="24111857"/>
          <a:ext cx="7402286" cy="99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latin typeface="+mn-lt"/>
              <a:ea typeface="Cambria Math" panose="02040503050406030204" pitchFamily="18" charset="0"/>
            </a:rPr>
            <a:t>Poison</a:t>
          </a:r>
        </a:p>
        <a:p>
          <a:r>
            <a:rPr lang="en-PH" sz="1100">
              <a:latin typeface="+mn-lt"/>
              <a:ea typeface="Cambria Math" panose="02040503050406030204" pitchFamily="18" charset="0"/>
            </a:rPr>
            <a:t>F</a:t>
          </a:r>
          <a:r>
            <a:rPr lang="en-PH" sz="1100" baseline="0">
              <a:latin typeface="+mn-lt"/>
              <a:ea typeface="Cambria Math" panose="02040503050406030204" pitchFamily="18" charset="0"/>
            </a:rPr>
            <a:t> =  </a:t>
          </a:r>
          <a:r>
            <a:rPr lang="en-PH" sz="1100" b="0" i="0" u="none" strike="noStrike">
              <a:solidFill>
                <a:schemeClr val="dk1"/>
              </a:solidFill>
              <a:effectLst/>
              <a:latin typeface="+mn-lt"/>
              <a:ea typeface="Cambria Math" panose="02040503050406030204" pitchFamily="18" charset="0"/>
              <a:cs typeface="+mn-cs"/>
            </a:rPr>
            <a:t>23.2217365512504</a:t>
          </a:r>
        </a:p>
        <a:p>
          <a:r>
            <a:rPr lang="en-PH" sz="1100">
              <a:effectLst/>
              <a:latin typeface="+mn-lt"/>
              <a:ea typeface="Cambria Math" panose="02040503050406030204" pitchFamily="18" charset="0"/>
            </a:rPr>
            <a:t>F crit = 3.25944630614411</a:t>
          </a:r>
        </a:p>
        <a:p>
          <a:r>
            <a:rPr lang="en-PH" sz="1100">
              <a:effectLst/>
              <a:latin typeface="+mn-lt"/>
              <a:ea typeface="Cambria Math" panose="02040503050406030204" pitchFamily="18" charset="0"/>
            </a:rPr>
            <a:t>P-value</a:t>
          </a:r>
          <a:r>
            <a:rPr lang="en-PH" sz="1100" baseline="0">
              <a:effectLst/>
              <a:latin typeface="+mn-lt"/>
              <a:ea typeface="Cambria Math" panose="02040503050406030204" pitchFamily="18" charset="0"/>
            </a:rPr>
            <a:t> = </a:t>
          </a:r>
          <a:r>
            <a:rPr lang="en-PH" sz="1100" b="0" i="0">
              <a:solidFill>
                <a:schemeClr val="dk1"/>
              </a:solidFill>
              <a:effectLst/>
              <a:latin typeface="+mn-lt"/>
              <a:ea typeface="+mn-ea"/>
              <a:cs typeface="+mn-cs"/>
            </a:rPr>
            <a:t>0.000000333143996157054</a:t>
          </a:r>
          <a:endParaRPr lang="en-PH" sz="1100" baseline="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endParaRPr lang="en-PH" sz="1100">
            <a:effectLst/>
            <a:latin typeface="+mn-lt"/>
            <a:ea typeface="Cambria Math" panose="02040503050406030204" pitchFamily="18" charset="0"/>
          </a:endParaRPr>
        </a:p>
      </xdr:txBody>
    </xdr:sp>
    <xdr:clientData/>
  </xdr:twoCellAnchor>
  <xdr:twoCellAnchor>
    <xdr:from>
      <xdr:col>13</xdr:col>
      <xdr:colOff>0</xdr:colOff>
      <xdr:row>135</xdr:row>
      <xdr:rowOff>0</xdr:rowOff>
    </xdr:from>
    <xdr:to>
      <xdr:col>19</xdr:col>
      <xdr:colOff>576943</xdr:colOff>
      <xdr:row>140</xdr:row>
      <xdr:rowOff>157348</xdr:rowOff>
    </xdr:to>
    <mc:AlternateContent xmlns:mc="http://schemas.openxmlformats.org/markup-compatibility/2006">
      <mc:Choice xmlns:a14="http://schemas.microsoft.com/office/drawing/2010/main" Requires="a14">
        <xdr:sp macro="" textlink="">
          <xdr:nvSpPr>
            <xdr:cNvPr id="11" name="TextBox 10">
              <a:extLst>
                <a:ext uri="{FF2B5EF4-FFF2-40B4-BE49-F238E27FC236}">
                  <a16:creationId xmlns:a16="http://schemas.microsoft.com/office/drawing/2014/main" id="{9F0B6E62-D049-4CFD-9B30-64C78535B23F}"/>
                </a:ext>
              </a:extLst>
            </xdr:cNvPr>
            <xdr:cNvSpPr txBox="1"/>
          </xdr:nvSpPr>
          <xdr:spPr>
            <a:xfrm>
              <a:off x="11734800" y="25222200"/>
              <a:ext cx="7271657" cy="1082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a:rPr lang="en-PH" sz="1600" i="1" baseline="0">
                      <a:solidFill>
                        <a:schemeClr val="dk1"/>
                      </a:solidFill>
                      <a:effectLst/>
                      <a:latin typeface="Cambria Math" panose="02040503050406030204" pitchFamily="18" charset="0"/>
                      <a:ea typeface="Cambria Math" panose="02040503050406030204" pitchFamily="18" charset="0"/>
                      <a:cs typeface="+mn-cs"/>
                    </a:rPr>
                    <m:t>0.000000333</m:t>
                  </m:r>
                  <m:r>
                    <a:rPr lang="en-US" sz="1600" b="0" i="1" baseline="0">
                      <a:solidFill>
                        <a:schemeClr val="dk1"/>
                      </a:solidFill>
                      <a:effectLst/>
                      <a:latin typeface="Cambria Math" panose="02040503050406030204" pitchFamily="18" charset="0"/>
                      <a:ea typeface="Cambria Math" panose="02040503050406030204" pitchFamily="18" charset="0"/>
                      <a:cs typeface="+mn-cs"/>
                    </a:rPr>
                    <m:t>≤0.05</m:t>
                  </m:r>
                </m:oMath>
              </a14:m>
              <a:r>
                <a:rPr lang="en-PH" sz="1600">
                  <a:latin typeface="Cambria Math" panose="02040503050406030204" pitchFamily="18" charset="0"/>
                  <a:ea typeface="Cambria Math" panose="02040503050406030204" pitchFamily="18" charset="0"/>
                </a:rPr>
                <a:t> </a:t>
              </a:r>
            </a:p>
            <a:p>
              <a:pPr algn="ctr"/>
              <a:endParaRPr lang="en-PH" sz="1200">
                <a:latin typeface="+mn-lt"/>
                <a:ea typeface="Cambria Math" panose="020405030504060302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PH" sz="1200">
                  <a:latin typeface="+mn-lt"/>
                  <a:ea typeface="Cambria Math" panose="02040503050406030204" pitchFamily="18" charset="0"/>
                </a:rPr>
                <a:t>This means we have sufficient evidence to say that </a:t>
              </a:r>
              <a:r>
                <a:rPr lang="en-PH" sz="1200" baseline="0">
                  <a:solidFill>
                    <a:schemeClr val="dk1"/>
                  </a:solidFill>
                  <a:effectLst/>
                  <a:latin typeface="+mn-lt"/>
                  <a:ea typeface="+mn-ea"/>
                  <a:cs typeface="+mn-cs"/>
                </a:rPr>
                <a:t>there is at least one poison that has a mean time different from other types of poison.</a:t>
              </a:r>
              <a:endParaRPr lang="en-PH" sz="1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PH" sz="1200">
                <a:effectLst/>
              </a:endParaRPr>
            </a:p>
          </xdr:txBody>
        </xdr:sp>
      </mc:Choice>
      <mc:Fallback>
        <xdr:sp macro="" textlink="">
          <xdr:nvSpPr>
            <xdr:cNvPr id="11" name="TextBox 10">
              <a:extLst>
                <a:ext uri="{FF2B5EF4-FFF2-40B4-BE49-F238E27FC236}">
                  <a16:creationId xmlns:a16="http://schemas.microsoft.com/office/drawing/2014/main" id="{9F0B6E62-D049-4CFD-9B30-64C78535B23F}"/>
                </a:ext>
              </a:extLst>
            </xdr:cNvPr>
            <xdr:cNvSpPr txBox="1"/>
          </xdr:nvSpPr>
          <xdr:spPr>
            <a:xfrm>
              <a:off x="11734800" y="25222200"/>
              <a:ext cx="7271657" cy="1082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i="0" baseline="0">
                  <a:solidFill>
                    <a:schemeClr val="dk1"/>
                  </a:solidFill>
                  <a:effectLst/>
                  <a:latin typeface="Cambria Math" panose="02040503050406030204" pitchFamily="18" charset="0"/>
                  <a:ea typeface="Cambria Math" panose="02040503050406030204" pitchFamily="18" charset="0"/>
                  <a:cs typeface="+mn-cs"/>
                </a:rPr>
                <a:t>0.000000333</a:t>
              </a:r>
              <a:r>
                <a:rPr lang="en-US" sz="1600" b="0" i="0" baseline="0">
                  <a:solidFill>
                    <a:schemeClr val="dk1"/>
                  </a:solidFill>
                  <a:effectLst/>
                  <a:latin typeface="Cambria Math" panose="02040503050406030204" pitchFamily="18" charset="0"/>
                  <a:ea typeface="Cambria Math" panose="02040503050406030204" pitchFamily="18" charset="0"/>
                  <a:cs typeface="+mn-cs"/>
                </a:rPr>
                <a:t>≤0.05</a:t>
              </a:r>
              <a:r>
                <a:rPr lang="en-PH" sz="1600">
                  <a:latin typeface="Cambria Math" panose="02040503050406030204" pitchFamily="18" charset="0"/>
                  <a:ea typeface="Cambria Math" panose="02040503050406030204" pitchFamily="18" charset="0"/>
                </a:rPr>
                <a:t> </a:t>
              </a:r>
            </a:p>
            <a:p>
              <a:pPr algn="ctr"/>
              <a:endParaRPr lang="en-PH" sz="1200">
                <a:latin typeface="+mn-lt"/>
                <a:ea typeface="Cambria Math" panose="020405030504060302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PH" sz="1200">
                  <a:latin typeface="+mn-lt"/>
                  <a:ea typeface="Cambria Math" panose="02040503050406030204" pitchFamily="18" charset="0"/>
                </a:rPr>
                <a:t>This means we have sufficient evidence to say that </a:t>
              </a:r>
              <a:r>
                <a:rPr lang="en-PH" sz="1200" baseline="0">
                  <a:solidFill>
                    <a:schemeClr val="dk1"/>
                  </a:solidFill>
                  <a:effectLst/>
                  <a:latin typeface="+mn-lt"/>
                  <a:ea typeface="+mn-ea"/>
                  <a:cs typeface="+mn-cs"/>
                </a:rPr>
                <a:t>there is at least one poison that has a mean time different from other types of poison.</a:t>
              </a:r>
              <a:endParaRPr lang="en-PH" sz="1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PH" sz="1200">
                <a:effectLst/>
              </a:endParaRPr>
            </a:p>
          </xdr:txBody>
        </xdr:sp>
      </mc:Fallback>
    </mc:AlternateContent>
    <xdr:clientData/>
  </xdr:twoCellAnchor>
  <xdr:twoCellAnchor>
    <xdr:from>
      <xdr:col>13</xdr:col>
      <xdr:colOff>0</xdr:colOff>
      <xdr:row>142</xdr:row>
      <xdr:rowOff>0</xdr:rowOff>
    </xdr:from>
    <xdr:to>
      <xdr:col>20</xdr:col>
      <xdr:colOff>21771</xdr:colOff>
      <xdr:row>147</xdr:row>
      <xdr:rowOff>65314</xdr:rowOff>
    </xdr:to>
    <xdr:sp macro="" textlink="">
      <xdr:nvSpPr>
        <xdr:cNvPr id="12" name="TextBox 11">
          <a:extLst>
            <a:ext uri="{FF2B5EF4-FFF2-40B4-BE49-F238E27FC236}">
              <a16:creationId xmlns:a16="http://schemas.microsoft.com/office/drawing/2014/main" id="{8976C443-4688-4200-A58A-1640915CBA8F}"/>
            </a:ext>
          </a:extLst>
        </xdr:cNvPr>
        <xdr:cNvSpPr txBox="1"/>
      </xdr:nvSpPr>
      <xdr:spPr>
        <a:xfrm>
          <a:off x="11734800" y="26474057"/>
          <a:ext cx="7630885" cy="99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latin typeface="+mn-lt"/>
              <a:ea typeface="Cambria Math" panose="02040503050406030204" pitchFamily="18" charset="0"/>
            </a:rPr>
            <a:t>Interaction</a:t>
          </a:r>
        </a:p>
        <a:p>
          <a:r>
            <a:rPr lang="en-PH" sz="1100">
              <a:latin typeface="+mn-lt"/>
              <a:ea typeface="Cambria Math" panose="02040503050406030204" pitchFamily="18" charset="0"/>
            </a:rPr>
            <a:t>F</a:t>
          </a:r>
          <a:r>
            <a:rPr lang="en-PH" sz="1100" baseline="0">
              <a:latin typeface="+mn-lt"/>
              <a:ea typeface="Cambria Math" panose="02040503050406030204" pitchFamily="18" charset="0"/>
            </a:rPr>
            <a:t> =  </a:t>
          </a:r>
          <a:r>
            <a:rPr lang="en-PH" sz="1100" b="0" i="0" u="none" strike="noStrike">
              <a:solidFill>
                <a:schemeClr val="dk1"/>
              </a:solidFill>
              <a:effectLst/>
              <a:latin typeface="+mn-lt"/>
              <a:ea typeface="Cambria Math" panose="02040503050406030204" pitchFamily="18" charset="0"/>
              <a:cs typeface="+mn-cs"/>
            </a:rPr>
            <a:t>1.87433263604859</a:t>
          </a:r>
        </a:p>
        <a:p>
          <a:r>
            <a:rPr lang="en-PH" sz="1100">
              <a:effectLst/>
              <a:latin typeface="+mn-lt"/>
              <a:ea typeface="Cambria Math" panose="02040503050406030204" pitchFamily="18" charset="0"/>
            </a:rPr>
            <a:t>F crit = 2.36375095836615</a:t>
          </a:r>
        </a:p>
        <a:p>
          <a:r>
            <a:rPr lang="en-PH" sz="1100">
              <a:effectLst/>
              <a:latin typeface="+mn-lt"/>
              <a:ea typeface="Cambria Math" panose="02040503050406030204" pitchFamily="18" charset="0"/>
            </a:rPr>
            <a:t>P-value</a:t>
          </a:r>
          <a:r>
            <a:rPr lang="en-PH" sz="1100" baseline="0">
              <a:effectLst/>
              <a:latin typeface="+mn-lt"/>
              <a:ea typeface="Cambria Math" panose="02040503050406030204" pitchFamily="18" charset="0"/>
            </a:rPr>
            <a:t> = </a:t>
          </a:r>
          <a:r>
            <a:rPr lang="en-PH" sz="1100" b="0" i="0">
              <a:solidFill>
                <a:schemeClr val="dk1"/>
              </a:solidFill>
              <a:effectLst/>
              <a:latin typeface="+mn-lt"/>
              <a:ea typeface="+mn-ea"/>
              <a:cs typeface="+mn-cs"/>
            </a:rPr>
            <a:t>0.112250608311411</a:t>
          </a:r>
          <a:endParaRPr lang="en-PH" sz="1100" baseline="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endParaRPr lang="en-PH" sz="1100">
            <a:effectLst/>
            <a:latin typeface="+mn-lt"/>
            <a:ea typeface="Cambria Math" panose="02040503050406030204" pitchFamily="18" charset="0"/>
          </a:endParaRPr>
        </a:p>
      </xdr:txBody>
    </xdr:sp>
    <xdr:clientData/>
  </xdr:twoCellAnchor>
  <xdr:twoCellAnchor>
    <xdr:from>
      <xdr:col>13</xdr:col>
      <xdr:colOff>0</xdr:colOff>
      <xdr:row>148</xdr:row>
      <xdr:rowOff>0</xdr:rowOff>
    </xdr:from>
    <xdr:to>
      <xdr:col>20</xdr:col>
      <xdr:colOff>21771</xdr:colOff>
      <xdr:row>153</xdr:row>
      <xdr:rowOff>157348</xdr:rowOff>
    </xdr:to>
    <mc:AlternateContent xmlns:mc="http://schemas.openxmlformats.org/markup-compatibility/2006">
      <mc:Choice xmlns:a14="http://schemas.microsoft.com/office/drawing/2010/main" Requires="a14">
        <xdr:sp macro="" textlink="">
          <xdr:nvSpPr>
            <xdr:cNvPr id="13" name="TextBox 12">
              <a:extLst>
                <a:ext uri="{FF2B5EF4-FFF2-40B4-BE49-F238E27FC236}">
                  <a16:creationId xmlns:a16="http://schemas.microsoft.com/office/drawing/2014/main" id="{1A54998A-C44F-4B29-9853-8CC2403262BF}"/>
                </a:ext>
              </a:extLst>
            </xdr:cNvPr>
            <xdr:cNvSpPr txBox="1"/>
          </xdr:nvSpPr>
          <xdr:spPr>
            <a:xfrm>
              <a:off x="11734800" y="27584400"/>
              <a:ext cx="7630885" cy="1082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a:rPr lang="en-PH" sz="1600" i="1" baseline="0">
                      <a:solidFill>
                        <a:schemeClr val="dk1"/>
                      </a:solidFill>
                      <a:effectLst/>
                      <a:latin typeface="Cambria Math" panose="02040503050406030204" pitchFamily="18" charset="0"/>
                      <a:ea typeface="Cambria Math" panose="02040503050406030204" pitchFamily="18" charset="0"/>
                      <a:cs typeface="+mn-cs"/>
                    </a:rPr>
                    <m:t>0.1122</m:t>
                  </m:r>
                  <m:r>
                    <a:rPr lang="en-US" sz="1600" b="0" i="1" baseline="0">
                      <a:solidFill>
                        <a:schemeClr val="dk1"/>
                      </a:solidFill>
                      <a:effectLst/>
                      <a:latin typeface="Cambria Math" panose="02040503050406030204" pitchFamily="18" charset="0"/>
                      <a:ea typeface="Cambria Math" panose="02040503050406030204" pitchFamily="18" charset="0"/>
                      <a:cs typeface="+mn-cs"/>
                    </a:rPr>
                    <m:t>&gt;0.05</m:t>
                  </m:r>
                </m:oMath>
              </a14:m>
              <a:r>
                <a:rPr lang="en-PH" sz="1600">
                  <a:latin typeface="Cambria Math" panose="02040503050406030204" pitchFamily="18" charset="0"/>
                  <a:ea typeface="Cambria Math" panose="02040503050406030204" pitchFamily="18" charset="0"/>
                </a:rPr>
                <a:t> </a:t>
              </a:r>
            </a:p>
            <a:p>
              <a:pPr algn="ct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the</a:t>
              </a:r>
              <a:r>
                <a:rPr lang="en-PH" sz="1200" baseline="0">
                  <a:solidFill>
                    <a:schemeClr val="dk1"/>
                  </a:solidFill>
                  <a:effectLst/>
                  <a:latin typeface="+mn-lt"/>
                  <a:ea typeface="+mn-ea"/>
                  <a:cs typeface="+mn-cs"/>
                </a:rPr>
                <a:t> effect of treatment does not depend on the poison.</a:t>
              </a:r>
              <a:endParaRPr lang="en-PH" sz="1200">
                <a:effectLst/>
              </a:endParaRPr>
            </a:p>
          </xdr:txBody>
        </xdr:sp>
      </mc:Choice>
      <mc:Fallback>
        <xdr:sp macro="" textlink="">
          <xdr:nvSpPr>
            <xdr:cNvPr id="13" name="TextBox 12">
              <a:extLst>
                <a:ext uri="{FF2B5EF4-FFF2-40B4-BE49-F238E27FC236}">
                  <a16:creationId xmlns:a16="http://schemas.microsoft.com/office/drawing/2014/main" id="{1A54998A-C44F-4B29-9853-8CC2403262BF}"/>
                </a:ext>
              </a:extLst>
            </xdr:cNvPr>
            <xdr:cNvSpPr txBox="1"/>
          </xdr:nvSpPr>
          <xdr:spPr>
            <a:xfrm>
              <a:off x="11734800" y="27584400"/>
              <a:ext cx="7630885" cy="1082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i="0" baseline="0">
                  <a:solidFill>
                    <a:schemeClr val="dk1"/>
                  </a:solidFill>
                  <a:effectLst/>
                  <a:latin typeface="Cambria Math" panose="02040503050406030204" pitchFamily="18" charset="0"/>
                  <a:ea typeface="Cambria Math" panose="02040503050406030204" pitchFamily="18" charset="0"/>
                  <a:cs typeface="+mn-cs"/>
                </a:rPr>
                <a:t>0.1122</a:t>
              </a:r>
              <a:r>
                <a:rPr lang="en-US" sz="1600" b="0" i="0" baseline="0">
                  <a:solidFill>
                    <a:schemeClr val="dk1"/>
                  </a:solidFill>
                  <a:effectLst/>
                  <a:latin typeface="Cambria Math" panose="02040503050406030204" pitchFamily="18" charset="0"/>
                  <a:ea typeface="Cambria Math" panose="02040503050406030204" pitchFamily="18" charset="0"/>
                  <a:cs typeface="+mn-cs"/>
                </a:rPr>
                <a:t>&gt;0.05</a:t>
              </a:r>
              <a:r>
                <a:rPr lang="en-PH" sz="1600">
                  <a:latin typeface="Cambria Math" panose="02040503050406030204" pitchFamily="18" charset="0"/>
                  <a:ea typeface="Cambria Math" panose="02040503050406030204" pitchFamily="18" charset="0"/>
                </a:rPr>
                <a:t> </a:t>
              </a:r>
            </a:p>
            <a:p>
              <a:pPr algn="ct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the</a:t>
              </a:r>
              <a:r>
                <a:rPr lang="en-PH" sz="1200" baseline="0">
                  <a:solidFill>
                    <a:schemeClr val="dk1"/>
                  </a:solidFill>
                  <a:effectLst/>
                  <a:latin typeface="+mn-lt"/>
                  <a:ea typeface="+mn-ea"/>
                  <a:cs typeface="+mn-cs"/>
                </a:rPr>
                <a:t> effect of treatment does not depend on the poison.</a:t>
              </a:r>
              <a:endParaRPr lang="en-PH" sz="1200">
                <a:effectLst/>
              </a:endParaRPr>
            </a:p>
          </xdr:txBody>
        </xdr:sp>
      </mc:Fallback>
    </mc:AlternateContent>
    <xdr:clientData/>
  </xdr:twoCellAnchor>
  <xdr:twoCellAnchor>
    <xdr:from>
      <xdr:col>23</xdr:col>
      <xdr:colOff>386443</xdr:colOff>
      <xdr:row>115</xdr:row>
      <xdr:rowOff>163286</xdr:rowOff>
    </xdr:from>
    <xdr:to>
      <xdr:col>26</xdr:col>
      <xdr:colOff>500742</xdr:colOff>
      <xdr:row>122</xdr:row>
      <xdr:rowOff>76200</xdr:rowOff>
    </xdr:to>
    <xdr:sp macro="" textlink="">
      <xdr:nvSpPr>
        <xdr:cNvPr id="14" name="TextBox 13">
          <a:extLst>
            <a:ext uri="{FF2B5EF4-FFF2-40B4-BE49-F238E27FC236}">
              <a16:creationId xmlns:a16="http://schemas.microsoft.com/office/drawing/2014/main" id="{E766AD1D-3964-4466-B50B-B1922B67226F}"/>
            </a:ext>
          </a:extLst>
        </xdr:cNvPr>
        <xdr:cNvSpPr txBox="1"/>
      </xdr:nvSpPr>
      <xdr:spPr>
        <a:xfrm>
          <a:off x="24160843" y="21640800"/>
          <a:ext cx="3445328"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200">
              <a:latin typeface="+mn-lt"/>
              <a:ea typeface="Cambria Math" panose="02040503050406030204" pitchFamily="18" charset="0"/>
            </a:rPr>
            <a:t>Treatment A mean</a:t>
          </a:r>
          <a:r>
            <a:rPr lang="en-PH" sz="1200" baseline="0">
              <a:latin typeface="+mn-lt"/>
              <a:ea typeface="Cambria Math" panose="02040503050406030204" pitchFamily="18" charset="0"/>
            </a:rPr>
            <a:t> time</a:t>
          </a:r>
          <a:r>
            <a:rPr lang="en-PH" sz="1200">
              <a:latin typeface="+mn-lt"/>
              <a:ea typeface="Cambria Math" panose="02040503050406030204" pitchFamily="18" charset="0"/>
            </a:rPr>
            <a:t> is significantly different from mean times of treatment B and D.</a:t>
          </a:r>
          <a:r>
            <a:rPr lang="en-PH" sz="1200" baseline="0">
              <a:latin typeface="+mn-lt"/>
              <a:ea typeface="Cambria Math" panose="02040503050406030204" pitchFamily="18" charset="0"/>
            </a:rPr>
            <a:t> T</a:t>
          </a:r>
          <a:r>
            <a:rPr lang="en-PH" sz="1200">
              <a:latin typeface="+mn-lt"/>
              <a:ea typeface="Cambria Math" panose="02040503050406030204" pitchFamily="18" charset="0"/>
            </a:rPr>
            <a:t>reatment B mean time is significantly</a:t>
          </a:r>
          <a:r>
            <a:rPr lang="en-PH" sz="1200" baseline="0">
              <a:latin typeface="+mn-lt"/>
              <a:ea typeface="Cambria Math" panose="02040503050406030204" pitchFamily="18" charset="0"/>
            </a:rPr>
            <a:t> different from treatment C while it is not significantly different from treatment D. Treatment C is not significantly different from treatment A and D. </a:t>
          </a:r>
          <a:endParaRPr lang="en-PH" sz="1200">
            <a:latin typeface="+mn-lt"/>
            <a:ea typeface="Cambria Math" panose="02040503050406030204" pitchFamily="18" charset="0"/>
          </a:endParaRPr>
        </a:p>
      </xdr:txBody>
    </xdr:sp>
    <xdr:clientData/>
  </xdr:twoCellAnchor>
  <xdr:twoCellAnchor>
    <xdr:from>
      <xdr:col>23</xdr:col>
      <xdr:colOff>386443</xdr:colOff>
      <xdr:row>129</xdr:row>
      <xdr:rowOff>0</xdr:rowOff>
    </xdr:from>
    <xdr:to>
      <xdr:col>26</xdr:col>
      <xdr:colOff>468086</xdr:colOff>
      <xdr:row>133</xdr:row>
      <xdr:rowOff>141515</xdr:rowOff>
    </xdr:to>
    <xdr:sp macro="" textlink="">
      <xdr:nvSpPr>
        <xdr:cNvPr id="15" name="TextBox 14">
          <a:extLst>
            <a:ext uri="{FF2B5EF4-FFF2-40B4-BE49-F238E27FC236}">
              <a16:creationId xmlns:a16="http://schemas.microsoft.com/office/drawing/2014/main" id="{1A6E7460-51C0-4D68-8DCC-1EDA6CCF2C52}"/>
            </a:ext>
          </a:extLst>
        </xdr:cNvPr>
        <xdr:cNvSpPr txBox="1"/>
      </xdr:nvSpPr>
      <xdr:spPr>
        <a:xfrm>
          <a:off x="24160843" y="24111857"/>
          <a:ext cx="3412672" cy="892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200">
              <a:latin typeface="+mn-lt"/>
              <a:ea typeface="Cambria Math" panose="02040503050406030204" pitchFamily="18" charset="0"/>
            </a:rPr>
            <a:t>Poison 3 has</a:t>
          </a:r>
          <a:r>
            <a:rPr lang="en-PH" sz="1200" baseline="0">
              <a:latin typeface="+mn-lt"/>
              <a:ea typeface="Cambria Math" panose="02040503050406030204" pitchFamily="18" charset="0"/>
            </a:rPr>
            <a:t> a significantly different mean time compared to poison 1 and poison 2. </a:t>
          </a:r>
          <a:r>
            <a:rPr lang="en-PH" sz="1200" baseline="0">
              <a:solidFill>
                <a:schemeClr val="dk1"/>
              </a:solidFill>
              <a:effectLst/>
              <a:latin typeface="+mn-lt"/>
              <a:ea typeface="+mn-ea"/>
              <a:cs typeface="+mn-cs"/>
            </a:rPr>
            <a:t>Poison 1 and poison 2 are not significantly different from each other.</a:t>
          </a:r>
          <a:endParaRPr lang="en-PH" sz="1200">
            <a:latin typeface="+mn-lt"/>
            <a:ea typeface="Cambria Math" panose="02040503050406030204" pitchFamily="18" charset="0"/>
          </a:endParaRPr>
        </a:p>
      </xdr:txBody>
    </xdr:sp>
    <xdr:clientData/>
  </xdr:twoCellAnchor>
  <xdr:twoCellAnchor>
    <xdr:from>
      <xdr:col>19</xdr:col>
      <xdr:colOff>424543</xdr:colOff>
      <xdr:row>3</xdr:row>
      <xdr:rowOff>152400</xdr:rowOff>
    </xdr:from>
    <xdr:to>
      <xdr:col>22</xdr:col>
      <xdr:colOff>762000</xdr:colOff>
      <xdr:row>18</xdr:row>
      <xdr:rowOff>97971</xdr:rowOff>
    </xdr:to>
    <xdr:graphicFrame macro="">
      <xdr:nvGraphicFramePr>
        <xdr:cNvPr id="16" name="Chart 15">
          <a:extLst>
            <a:ext uri="{FF2B5EF4-FFF2-40B4-BE49-F238E27FC236}">
              <a16:creationId xmlns:a16="http://schemas.microsoft.com/office/drawing/2014/main" id="{B45BA913-B577-4261-5CDE-5038AD113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436418</xdr:colOff>
      <xdr:row>20</xdr:row>
      <xdr:rowOff>48492</xdr:rowOff>
    </xdr:from>
    <xdr:to>
      <xdr:col>22</xdr:col>
      <xdr:colOff>782782</xdr:colOff>
      <xdr:row>35</xdr:row>
      <xdr:rowOff>76201</xdr:rowOff>
    </xdr:to>
    <xdr:graphicFrame macro="">
      <xdr:nvGraphicFramePr>
        <xdr:cNvPr id="17" name="Chart 16">
          <a:extLst>
            <a:ext uri="{FF2B5EF4-FFF2-40B4-BE49-F238E27FC236}">
              <a16:creationId xmlns:a16="http://schemas.microsoft.com/office/drawing/2014/main" id="{C3854B71-2F34-527B-6075-2BCFDF8B0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49</xdr:row>
      <xdr:rowOff>87084</xdr:rowOff>
    </xdr:from>
    <xdr:to>
      <xdr:col>4</xdr:col>
      <xdr:colOff>10887</xdr:colOff>
      <xdr:row>79</xdr:row>
      <xdr:rowOff>144780</xdr:rowOff>
    </xdr:to>
    <xdr:sp macro="" textlink="">
      <xdr:nvSpPr>
        <xdr:cNvPr id="18" name="TextBox 17">
          <a:extLst>
            <a:ext uri="{FF2B5EF4-FFF2-40B4-BE49-F238E27FC236}">
              <a16:creationId xmlns:a16="http://schemas.microsoft.com/office/drawing/2014/main" id="{3C35FA88-89E4-221F-B640-C62FC939CD45}"/>
            </a:ext>
          </a:extLst>
        </xdr:cNvPr>
        <xdr:cNvSpPr txBox="1"/>
      </xdr:nvSpPr>
      <xdr:spPr>
        <a:xfrm>
          <a:off x="1" y="9078684"/>
          <a:ext cx="1984466" cy="5582196"/>
        </a:xfrm>
        <a:prstGeom prst="rect">
          <a:avLst/>
        </a:prstGeom>
        <a:solidFill>
          <a:schemeClr val="accent2">
            <a:lumMod val="20000"/>
            <a:lumOff val="80000"/>
          </a:schemeClr>
        </a:solidFill>
        <a:ln w="9525" cmpd="sng">
          <a:solidFill>
            <a:schemeClr val="accent2">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200" b="1"/>
            <a:t>Discussion</a:t>
          </a:r>
          <a:r>
            <a:rPr lang="en-PH" sz="1200" b="1" baseline="0"/>
            <a:t> and Conclusion</a:t>
          </a:r>
        </a:p>
        <a:p>
          <a:endParaRPr lang="en-PH" sz="1200" b="1"/>
        </a:p>
        <a:p>
          <a:r>
            <a:rPr lang="en-PH" sz="1200"/>
            <a:t>This analysis showed that while both </a:t>
          </a:r>
          <a:r>
            <a:rPr lang="en-PH" sz="1200" b="0"/>
            <a:t>poison</a:t>
          </a:r>
          <a:r>
            <a:rPr lang="en-PH" sz="1200"/>
            <a:t> and </a:t>
          </a:r>
          <a:r>
            <a:rPr lang="en-PH" sz="1200" b="0"/>
            <a:t>treatment</a:t>
          </a:r>
          <a:r>
            <a:rPr lang="en-PH" sz="1200"/>
            <a:t> are significant factors in survival time, they act independently. Both the </a:t>
          </a:r>
          <a:r>
            <a:rPr lang="en-PH" sz="1200" b="0"/>
            <a:t>poison</a:t>
          </a:r>
          <a:r>
            <a:rPr lang="en-PH" sz="1200"/>
            <a:t> and the </a:t>
          </a:r>
          <a:r>
            <a:rPr lang="en-PH" sz="1200" b="0"/>
            <a:t>treatment</a:t>
          </a:r>
          <a:r>
            <a:rPr lang="en-PH" sz="1200" b="1"/>
            <a:t> </a:t>
          </a:r>
          <a:r>
            <a:rPr lang="en-PH" sz="1200"/>
            <a:t>have a statistically significant impact on survival time, as indicated by their very low p-values</a:t>
          </a:r>
          <a:r>
            <a:rPr lang="en-PH" sz="1200" baseline="0"/>
            <a:t> (in one-way ANOVA and two-way ANOVA for poison and  two-way ANOVA for treatment)</a:t>
          </a:r>
          <a:r>
            <a:rPr lang="en-PH" sz="1200"/>
            <a:t>.</a:t>
          </a:r>
        </a:p>
        <a:p>
          <a:endParaRPr lang="en-PH" sz="1200"/>
        </a:p>
        <a:p>
          <a:r>
            <a:rPr lang="en-PH" sz="1200"/>
            <a:t>The lack of a significant </a:t>
          </a:r>
          <a:r>
            <a:rPr lang="en-PH" sz="1200" b="0"/>
            <a:t>interaction effect</a:t>
          </a:r>
          <a:r>
            <a:rPr lang="en-PH" sz="1200"/>
            <a:t> (p = 0.112)</a:t>
          </a:r>
          <a:r>
            <a:rPr lang="en-PH" sz="1200" baseline="0"/>
            <a:t> </a:t>
          </a:r>
          <a:r>
            <a:rPr lang="en-PH" sz="1200"/>
            <a:t>indicate that the effectiveness of a treatment does not change depending on the poison. This</a:t>
          </a:r>
          <a:r>
            <a:rPr lang="en-PH" sz="1200" baseline="0"/>
            <a:t> means that </a:t>
          </a:r>
          <a:r>
            <a:rPr lang="en-PH" sz="1200"/>
            <a:t>the effectiveness of the treatments is consistent across all three poisons. In other words, if one treatment is superior, it is superior regardless of the poison it is used to counteract.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598713</xdr:colOff>
      <xdr:row>18</xdr:row>
      <xdr:rowOff>0</xdr:rowOff>
    </xdr:from>
    <xdr:to>
      <xdr:col>25</xdr:col>
      <xdr:colOff>944262</xdr:colOff>
      <xdr:row>25</xdr:row>
      <xdr:rowOff>10885</xdr:rowOff>
    </xdr:to>
    <xdr:graphicFrame macro="">
      <xdr:nvGraphicFramePr>
        <xdr:cNvPr id="4" name="Chart 3">
          <a:extLst>
            <a:ext uri="{FF2B5EF4-FFF2-40B4-BE49-F238E27FC236}">
              <a16:creationId xmlns:a16="http://schemas.microsoft.com/office/drawing/2014/main" id="{814B0EBF-C00B-67ED-B799-16CD81FE7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598318</xdr:colOff>
      <xdr:row>26</xdr:row>
      <xdr:rowOff>63157</xdr:rowOff>
    </xdr:from>
    <xdr:to>
      <xdr:col>25</xdr:col>
      <xdr:colOff>943428</xdr:colOff>
      <xdr:row>33</xdr:row>
      <xdr:rowOff>74557</xdr:rowOff>
    </xdr:to>
    <xdr:graphicFrame macro="">
      <xdr:nvGraphicFramePr>
        <xdr:cNvPr id="5" name="Chart 4">
          <a:extLst>
            <a:ext uri="{FF2B5EF4-FFF2-40B4-BE49-F238E27FC236}">
              <a16:creationId xmlns:a16="http://schemas.microsoft.com/office/drawing/2014/main" id="{6622320D-59E6-74FD-480B-C0D0120C7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597925</xdr:colOff>
      <xdr:row>34</xdr:row>
      <xdr:rowOff>126830</xdr:rowOff>
    </xdr:from>
    <xdr:to>
      <xdr:col>25</xdr:col>
      <xdr:colOff>943035</xdr:colOff>
      <xdr:row>41</xdr:row>
      <xdr:rowOff>138230</xdr:rowOff>
    </xdr:to>
    <xdr:graphicFrame macro="">
      <xdr:nvGraphicFramePr>
        <xdr:cNvPr id="6" name="Chart 5">
          <a:extLst>
            <a:ext uri="{FF2B5EF4-FFF2-40B4-BE49-F238E27FC236}">
              <a16:creationId xmlns:a16="http://schemas.microsoft.com/office/drawing/2014/main" id="{5C9A5A60-7F3A-BD60-1989-1FB3E5B0D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598712</xdr:colOff>
      <xdr:row>43</xdr:row>
      <xdr:rowOff>5444</xdr:rowOff>
    </xdr:from>
    <xdr:to>
      <xdr:col>25</xdr:col>
      <xdr:colOff>943347</xdr:colOff>
      <xdr:row>50</xdr:row>
      <xdr:rowOff>16844</xdr:rowOff>
    </xdr:to>
    <xdr:graphicFrame macro="">
      <xdr:nvGraphicFramePr>
        <xdr:cNvPr id="7" name="Chart 6">
          <a:extLst>
            <a:ext uri="{FF2B5EF4-FFF2-40B4-BE49-F238E27FC236}">
              <a16:creationId xmlns:a16="http://schemas.microsoft.com/office/drawing/2014/main" id="{E6FADE60-CE1F-126D-40EE-266674EDB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599965</xdr:colOff>
      <xdr:row>55</xdr:row>
      <xdr:rowOff>152399</xdr:rowOff>
    </xdr:from>
    <xdr:to>
      <xdr:col>16</xdr:col>
      <xdr:colOff>424793</xdr:colOff>
      <xdr:row>70</xdr:row>
      <xdr:rowOff>136634</xdr:rowOff>
    </xdr:to>
    <xdr:graphicFrame macro="">
      <xdr:nvGraphicFramePr>
        <xdr:cNvPr id="10" name="Chart 9">
          <a:extLst>
            <a:ext uri="{FF2B5EF4-FFF2-40B4-BE49-F238E27FC236}">
              <a16:creationId xmlns:a16="http://schemas.microsoft.com/office/drawing/2014/main" id="{4419162B-79B6-78EC-1B74-D098F7B2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609587</xdr:colOff>
      <xdr:row>201</xdr:row>
      <xdr:rowOff>152399</xdr:rowOff>
    </xdr:from>
    <xdr:to>
      <xdr:col>16</xdr:col>
      <xdr:colOff>844439</xdr:colOff>
      <xdr:row>216</xdr:row>
      <xdr:rowOff>133188</xdr:rowOff>
    </xdr:to>
    <xdr:graphicFrame macro="">
      <xdr:nvGraphicFramePr>
        <xdr:cNvPr id="12" name="Chart 11">
          <a:extLst>
            <a:ext uri="{FF2B5EF4-FFF2-40B4-BE49-F238E27FC236}">
              <a16:creationId xmlns:a16="http://schemas.microsoft.com/office/drawing/2014/main" id="{874C640F-80DC-8945-FB15-4DC77BA4A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4534</xdr:colOff>
      <xdr:row>21</xdr:row>
      <xdr:rowOff>20112</xdr:rowOff>
    </xdr:from>
    <xdr:to>
      <xdr:col>36</xdr:col>
      <xdr:colOff>530677</xdr:colOff>
      <xdr:row>36</xdr:row>
      <xdr:rowOff>43395</xdr:rowOff>
    </xdr:to>
    <xdr:graphicFrame macro="">
      <xdr:nvGraphicFramePr>
        <xdr:cNvPr id="13" name="Chart 12">
          <a:extLst>
            <a:ext uri="{FF2B5EF4-FFF2-40B4-BE49-F238E27FC236}">
              <a16:creationId xmlns:a16="http://schemas.microsoft.com/office/drawing/2014/main" id="{3F649A7A-85BC-D2D0-C7E3-18C54B990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4534</xdr:colOff>
      <xdr:row>41</xdr:row>
      <xdr:rowOff>70757</xdr:rowOff>
    </xdr:from>
    <xdr:to>
      <xdr:col>36</xdr:col>
      <xdr:colOff>461734</xdr:colOff>
      <xdr:row>56</xdr:row>
      <xdr:rowOff>16328</xdr:rowOff>
    </xdr:to>
    <xdr:graphicFrame macro="">
      <xdr:nvGraphicFramePr>
        <xdr:cNvPr id="14" name="Chart 13">
          <a:extLst>
            <a:ext uri="{FF2B5EF4-FFF2-40B4-BE49-F238E27FC236}">
              <a16:creationId xmlns:a16="http://schemas.microsoft.com/office/drawing/2014/main" id="{AB0BD3F5-7861-EF9F-4640-0138258B1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1067087</xdr:colOff>
      <xdr:row>117</xdr:row>
      <xdr:rowOff>60502</xdr:rowOff>
    </xdr:from>
    <xdr:to>
      <xdr:col>17</xdr:col>
      <xdr:colOff>41173</xdr:colOff>
      <xdr:row>132</xdr:row>
      <xdr:rowOff>146644</xdr:rowOff>
    </xdr:to>
    <xdr:graphicFrame macro="">
      <xdr:nvGraphicFramePr>
        <xdr:cNvPr id="16" name="Chart 15">
          <a:extLst>
            <a:ext uri="{FF2B5EF4-FFF2-40B4-BE49-F238E27FC236}">
              <a16:creationId xmlns:a16="http://schemas.microsoft.com/office/drawing/2014/main" id="{7CE456B9-A2C7-619A-F639-6419E448B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1067250</xdr:colOff>
      <xdr:row>98</xdr:row>
      <xdr:rowOff>14189</xdr:rowOff>
    </xdr:from>
    <xdr:to>
      <xdr:col>17</xdr:col>
      <xdr:colOff>41336</xdr:colOff>
      <xdr:row>113</xdr:row>
      <xdr:rowOff>100332</xdr:rowOff>
    </xdr:to>
    <xdr:graphicFrame macro="">
      <xdr:nvGraphicFramePr>
        <xdr:cNvPr id="17" name="Chart 16">
          <a:extLst>
            <a:ext uri="{FF2B5EF4-FFF2-40B4-BE49-F238E27FC236}">
              <a16:creationId xmlns:a16="http://schemas.microsoft.com/office/drawing/2014/main" id="{A4A17433-614F-B6F0-B1B1-D09740907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1066763</xdr:colOff>
      <xdr:row>78</xdr:row>
      <xdr:rowOff>151598</xdr:rowOff>
    </xdr:from>
    <xdr:to>
      <xdr:col>17</xdr:col>
      <xdr:colOff>41498</xdr:colOff>
      <xdr:row>94</xdr:row>
      <xdr:rowOff>54019</xdr:rowOff>
    </xdr:to>
    <xdr:graphicFrame macro="">
      <xdr:nvGraphicFramePr>
        <xdr:cNvPr id="18" name="Chart 17">
          <a:extLst>
            <a:ext uri="{FF2B5EF4-FFF2-40B4-BE49-F238E27FC236}">
              <a16:creationId xmlns:a16="http://schemas.microsoft.com/office/drawing/2014/main" id="{681CC1D7-006F-F0F5-8DDE-79F58811A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609587</xdr:colOff>
      <xdr:row>222</xdr:row>
      <xdr:rowOff>102576</xdr:rowOff>
    </xdr:from>
    <xdr:to>
      <xdr:col>16</xdr:col>
      <xdr:colOff>844833</xdr:colOff>
      <xdr:row>237</xdr:row>
      <xdr:rowOff>157683</xdr:rowOff>
    </xdr:to>
    <xdr:graphicFrame macro="">
      <xdr:nvGraphicFramePr>
        <xdr:cNvPr id="22" name="Chart 21">
          <a:extLst>
            <a:ext uri="{FF2B5EF4-FFF2-40B4-BE49-F238E27FC236}">
              <a16:creationId xmlns:a16="http://schemas.microsoft.com/office/drawing/2014/main" id="{7D352802-A244-4A6F-89BB-4D065B339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609587</xdr:colOff>
      <xdr:row>240</xdr:row>
      <xdr:rowOff>110196</xdr:rowOff>
    </xdr:from>
    <xdr:to>
      <xdr:col>16</xdr:col>
      <xdr:colOff>844833</xdr:colOff>
      <xdr:row>255</xdr:row>
      <xdr:rowOff>165304</xdr:rowOff>
    </xdr:to>
    <xdr:graphicFrame macro="">
      <xdr:nvGraphicFramePr>
        <xdr:cNvPr id="23" name="Chart 22">
          <a:extLst>
            <a:ext uri="{FF2B5EF4-FFF2-40B4-BE49-F238E27FC236}">
              <a16:creationId xmlns:a16="http://schemas.microsoft.com/office/drawing/2014/main" id="{3D512110-5314-4F97-A795-1D25EF0B7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609587</xdr:colOff>
      <xdr:row>258</xdr:row>
      <xdr:rowOff>117816</xdr:rowOff>
    </xdr:from>
    <xdr:to>
      <xdr:col>16</xdr:col>
      <xdr:colOff>844833</xdr:colOff>
      <xdr:row>273</xdr:row>
      <xdr:rowOff>172924</xdr:rowOff>
    </xdr:to>
    <xdr:graphicFrame macro="">
      <xdr:nvGraphicFramePr>
        <xdr:cNvPr id="24" name="Chart 23">
          <a:extLst>
            <a:ext uri="{FF2B5EF4-FFF2-40B4-BE49-F238E27FC236}">
              <a16:creationId xmlns:a16="http://schemas.microsoft.com/office/drawing/2014/main" id="{B5BA8358-E68A-41EF-BF96-489D9237F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1683568</xdr:colOff>
      <xdr:row>55</xdr:row>
      <xdr:rowOff>120462</xdr:rowOff>
    </xdr:from>
    <xdr:to>
      <xdr:col>23</xdr:col>
      <xdr:colOff>1933</xdr:colOff>
      <xdr:row>58</xdr:row>
      <xdr:rowOff>49161</xdr:rowOff>
    </xdr:to>
    <xdr:sp macro="" textlink="">
      <xdr:nvSpPr>
        <xdr:cNvPr id="25" name="TextBox 24">
          <a:extLst>
            <a:ext uri="{FF2B5EF4-FFF2-40B4-BE49-F238E27FC236}">
              <a16:creationId xmlns:a16="http://schemas.microsoft.com/office/drawing/2014/main" id="{0ED045AB-6A27-42B7-B429-8EE7D8766F52}"/>
            </a:ext>
          </a:extLst>
        </xdr:cNvPr>
        <xdr:cNvSpPr txBox="1"/>
      </xdr:nvSpPr>
      <xdr:spPr>
        <a:xfrm>
          <a:off x="25317858" y="10370591"/>
          <a:ext cx="5545075" cy="481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a:t>H0</a:t>
          </a:r>
          <a:r>
            <a:rPr lang="en-PH" sz="1100"/>
            <a:t>: There is no linear relationship between the pre diastolic and post</a:t>
          </a:r>
          <a:r>
            <a:rPr lang="en-PH" sz="1100" baseline="0"/>
            <a:t> diastolic blood pressures.</a:t>
          </a:r>
        </a:p>
        <a:p>
          <a:r>
            <a:rPr lang="en-PH"/>
            <a:t>H1</a:t>
          </a:r>
          <a:r>
            <a:rPr lang="en-PH" sz="1100" baseline="0"/>
            <a:t>: </a:t>
          </a:r>
          <a:r>
            <a:rPr lang="en-PH" sz="1100">
              <a:solidFill>
                <a:schemeClr val="dk1"/>
              </a:solidFill>
              <a:effectLst/>
              <a:latin typeface="+mn-lt"/>
              <a:ea typeface="+mn-ea"/>
              <a:cs typeface="+mn-cs"/>
            </a:rPr>
            <a:t>There is a linear relationship between the pre diastolic and post</a:t>
          </a:r>
          <a:r>
            <a:rPr lang="en-PH" sz="1100" baseline="0">
              <a:solidFill>
                <a:schemeClr val="dk1"/>
              </a:solidFill>
              <a:effectLst/>
              <a:latin typeface="+mn-lt"/>
              <a:ea typeface="+mn-ea"/>
              <a:cs typeface="+mn-cs"/>
            </a:rPr>
            <a:t> diastolic blood pressures</a:t>
          </a:r>
          <a:r>
            <a:rPr lang="en-PH" sz="1100" baseline="0"/>
            <a:t>.</a:t>
          </a:r>
          <a:endParaRPr lang="en-PH" sz="1100"/>
        </a:p>
      </xdr:txBody>
    </xdr:sp>
    <xdr:clientData/>
  </xdr:twoCellAnchor>
  <xdr:twoCellAnchor>
    <xdr:from>
      <xdr:col>23</xdr:col>
      <xdr:colOff>467999</xdr:colOff>
      <xdr:row>54</xdr:row>
      <xdr:rowOff>148713</xdr:rowOff>
    </xdr:from>
    <xdr:to>
      <xdr:col>26</xdr:col>
      <xdr:colOff>517966</xdr:colOff>
      <xdr:row>59</xdr:row>
      <xdr:rowOff>50959</xdr:rowOff>
    </xdr:to>
    <xdr:sp macro="" textlink="">
      <xdr:nvSpPr>
        <xdr:cNvPr id="26" name="TextBox 25">
          <a:extLst>
            <a:ext uri="{FF2B5EF4-FFF2-40B4-BE49-F238E27FC236}">
              <a16:creationId xmlns:a16="http://schemas.microsoft.com/office/drawing/2014/main" id="{CBBAACCE-04DC-4190-ADBE-5676EACA9221}"/>
            </a:ext>
          </a:extLst>
        </xdr:cNvPr>
        <xdr:cNvSpPr txBox="1"/>
      </xdr:nvSpPr>
      <xdr:spPr>
        <a:xfrm>
          <a:off x="31310856" y="10027499"/>
          <a:ext cx="5601681" cy="818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mn-lt"/>
              <a:ea typeface="Cambria Math" panose="02040503050406030204" pitchFamily="18" charset="0"/>
            </a:rPr>
            <a:t>F</a:t>
          </a:r>
          <a:r>
            <a:rPr lang="en-PH" sz="1100" baseline="0">
              <a:latin typeface="+mn-lt"/>
              <a:ea typeface="Cambria Math" panose="02040503050406030204" pitchFamily="18" charset="0"/>
            </a:rPr>
            <a:t> =  </a:t>
          </a:r>
          <a:r>
            <a:rPr lang="en-PH" sz="1100" b="0" i="0" u="none" strike="noStrike">
              <a:solidFill>
                <a:schemeClr val="dk1"/>
              </a:solidFill>
              <a:effectLst/>
              <a:latin typeface="+mn-lt"/>
              <a:ea typeface="Cambria Math" panose="02040503050406030204" pitchFamily="18" charset="0"/>
              <a:cs typeface="+mn-cs"/>
            </a:rPr>
            <a:t>90.6960535533705</a:t>
          </a:r>
          <a:r>
            <a:rPr lang="en-PH">
              <a:effectLst/>
              <a:latin typeface="+mn-lt"/>
              <a:ea typeface="Cambria Math" panose="02040503050406030204" pitchFamily="18" charset="0"/>
            </a:rPr>
            <a:t> </a:t>
          </a:r>
        </a:p>
        <a:p>
          <a:pPr latinLnBrk="1"/>
          <a:r>
            <a:rPr lang="en-PH" sz="1100">
              <a:effectLst/>
              <a:latin typeface="+mn-lt"/>
              <a:ea typeface="Cambria Math" panose="02040503050406030204" pitchFamily="18" charset="0"/>
            </a:rPr>
            <a:t>Significance F = </a:t>
          </a:r>
          <a:r>
            <a:rPr lang="en-PH" sz="1100" b="0" i="0">
              <a:solidFill>
                <a:schemeClr val="dk1"/>
              </a:solidFill>
              <a:effectLst/>
              <a:latin typeface="+mn-lt"/>
              <a:ea typeface="+mn-ea"/>
              <a:cs typeface="+mn-cs"/>
            </a:rPr>
            <a:t>0.000000000000000269867628895804</a:t>
          </a:r>
        </a:p>
        <a:p>
          <a:pPr latinLnBrk="1"/>
          <a:r>
            <a:rPr lang="en-PH" sz="1100" b="0" i="0">
              <a:solidFill>
                <a:schemeClr val="dk1"/>
              </a:solidFill>
              <a:effectLst/>
              <a:latin typeface="+mn-lt"/>
              <a:ea typeface="+mn-ea"/>
              <a:cs typeface="+mn-cs"/>
            </a:rPr>
            <a:t>P-value</a:t>
          </a:r>
          <a:r>
            <a:rPr lang="en-PH" sz="1100" b="0" i="0" baseline="0">
              <a:solidFill>
                <a:schemeClr val="dk1"/>
              </a:solidFill>
              <a:effectLst/>
              <a:latin typeface="+mn-lt"/>
              <a:ea typeface="+mn-ea"/>
              <a:cs typeface="+mn-cs"/>
            </a:rPr>
            <a:t> = </a:t>
          </a:r>
          <a:r>
            <a:rPr lang="en-PH" sz="1100" b="0" i="0">
              <a:solidFill>
                <a:schemeClr val="dk1"/>
              </a:solidFill>
              <a:effectLst/>
              <a:latin typeface="+mn-lt"/>
              <a:ea typeface="+mn-ea"/>
              <a:cs typeface="+mn-cs"/>
            </a:rPr>
            <a:t>0.000000000000000269867628895804</a:t>
          </a:r>
          <a:endParaRPr lang="en-PH" sz="110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endParaRPr lang="en-PH" sz="1100">
            <a:effectLst/>
            <a:latin typeface="+mn-lt"/>
            <a:ea typeface="Cambria Math" panose="02040503050406030204" pitchFamily="18" charset="0"/>
          </a:endParaRPr>
        </a:p>
      </xdr:txBody>
    </xdr:sp>
    <xdr:clientData/>
  </xdr:twoCellAnchor>
  <xdr:twoCellAnchor>
    <xdr:from>
      <xdr:col>23</xdr:col>
      <xdr:colOff>467999</xdr:colOff>
      <xdr:row>59</xdr:row>
      <xdr:rowOff>174554</xdr:rowOff>
    </xdr:from>
    <xdr:to>
      <xdr:col>26</xdr:col>
      <xdr:colOff>517966</xdr:colOff>
      <xdr:row>64</xdr:row>
      <xdr:rowOff>178296</xdr:rowOff>
    </xdr:to>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D2256AB3-D279-4A0C-B6A3-2288106EF85D}"/>
                </a:ext>
              </a:extLst>
            </xdr:cNvPr>
            <xdr:cNvSpPr txBox="1"/>
          </xdr:nvSpPr>
          <xdr:spPr>
            <a:xfrm>
              <a:off x="31310856" y="10969554"/>
              <a:ext cx="5601681" cy="9199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m:rPr>
                      <m:nor/>
                    </m:rPr>
                    <a:rPr lang="en-PH" sz="1600" b="0" i="0">
                      <a:solidFill>
                        <a:schemeClr val="dk1"/>
                      </a:solidFill>
                      <a:effectLst/>
                      <a:latin typeface="Cambria Math" panose="02040503050406030204" pitchFamily="18" charset="0"/>
                      <a:ea typeface="Cambria Math" panose="02040503050406030204" pitchFamily="18" charset="0"/>
                      <a:cs typeface="+mn-cs"/>
                    </a:rPr>
                    <m:t>0.0000000000000002</m:t>
                  </m:r>
                  <m:r>
                    <a:rPr lang="en-PH" sz="1600" b="0" i="1">
                      <a:solidFill>
                        <a:schemeClr val="dk1"/>
                      </a:solidFill>
                      <a:effectLst/>
                      <a:latin typeface="Cambria Math" panose="02040503050406030204" pitchFamily="18" charset="0"/>
                      <a:ea typeface="Cambria Math" panose="02040503050406030204" pitchFamily="18" charset="0"/>
                      <a:cs typeface="+mn-cs"/>
                    </a:rPr>
                    <m:t>7</m:t>
                  </m:r>
                  <m:r>
                    <a:rPr lang="en-US" sz="1600" b="0" i="1" baseline="0">
                      <a:solidFill>
                        <a:schemeClr val="dk1"/>
                      </a:solidFill>
                      <a:effectLst/>
                      <a:latin typeface="Cambria Math" panose="02040503050406030204" pitchFamily="18" charset="0"/>
                      <a:ea typeface="Cambria Math" panose="02040503050406030204" pitchFamily="18" charset="0"/>
                      <a:cs typeface="+mn-cs"/>
                    </a:rPr>
                    <m:t> ≤0.05</m:t>
                  </m:r>
                </m:oMath>
              </a14:m>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there is </a:t>
              </a:r>
              <a:r>
                <a:rPr lang="en-PH" sz="1200">
                  <a:solidFill>
                    <a:schemeClr val="dk1"/>
                  </a:solidFill>
                  <a:effectLst/>
                  <a:latin typeface="+mn-lt"/>
                  <a:ea typeface="+mn-ea"/>
                  <a:cs typeface="+mn-cs"/>
                </a:rPr>
                <a:t>a linear relationship between the pre diastolic and post</a:t>
              </a:r>
              <a:r>
                <a:rPr lang="en-PH" sz="1200" baseline="0">
                  <a:solidFill>
                    <a:schemeClr val="dk1"/>
                  </a:solidFill>
                  <a:effectLst/>
                  <a:latin typeface="+mn-lt"/>
                  <a:ea typeface="+mn-ea"/>
                  <a:cs typeface="+mn-cs"/>
                </a:rPr>
                <a:t> diastolic blood pressures.</a:t>
              </a:r>
              <a:endParaRPr lang="en-PH" sz="1200">
                <a:latin typeface="+mn-lt"/>
                <a:ea typeface="Cambria Math" panose="02040503050406030204" pitchFamily="18" charset="0"/>
              </a:endParaRPr>
            </a:p>
          </xdr:txBody>
        </xdr:sp>
      </mc:Choice>
      <mc:Fallback xmlns="">
        <xdr:sp macro="" textlink="">
          <xdr:nvSpPr>
            <xdr:cNvPr id="27" name="TextBox 26">
              <a:extLst>
                <a:ext uri="{FF2B5EF4-FFF2-40B4-BE49-F238E27FC236}">
                  <a16:creationId xmlns:a16="http://schemas.microsoft.com/office/drawing/2014/main" id="{D2256AB3-D279-4A0C-B6A3-2288106EF85D}"/>
                </a:ext>
              </a:extLst>
            </xdr:cNvPr>
            <xdr:cNvSpPr txBox="1"/>
          </xdr:nvSpPr>
          <xdr:spPr>
            <a:xfrm>
              <a:off x="31310856" y="10969554"/>
              <a:ext cx="5601681" cy="9199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b="0" i="0">
                  <a:solidFill>
                    <a:schemeClr val="dk1"/>
                  </a:solidFill>
                  <a:effectLst/>
                  <a:latin typeface="Cambria Math" panose="02040503050406030204" pitchFamily="18" charset="0"/>
                  <a:ea typeface="Cambria Math" panose="02040503050406030204" pitchFamily="18" charset="0"/>
                  <a:cs typeface="+mn-cs"/>
                </a:rPr>
                <a:t>"0.0000000000000002" 7</a:t>
              </a:r>
              <a:r>
                <a:rPr lang="en-US" sz="1600" b="0" i="0" baseline="0">
                  <a:solidFill>
                    <a:schemeClr val="dk1"/>
                  </a:solidFill>
                  <a:effectLst/>
                  <a:latin typeface="Cambria Math" panose="02040503050406030204" pitchFamily="18" charset="0"/>
                  <a:ea typeface="Cambria Math" panose="02040503050406030204" pitchFamily="18" charset="0"/>
                  <a:cs typeface="+mn-cs"/>
                </a:rPr>
                <a:t> ≤0.05</a:t>
              </a:r>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there is </a:t>
              </a:r>
              <a:r>
                <a:rPr lang="en-PH" sz="1200">
                  <a:solidFill>
                    <a:schemeClr val="dk1"/>
                  </a:solidFill>
                  <a:effectLst/>
                  <a:latin typeface="+mn-lt"/>
                  <a:ea typeface="+mn-ea"/>
                  <a:cs typeface="+mn-cs"/>
                </a:rPr>
                <a:t>a linear relationship between the pre diastolic and post</a:t>
              </a:r>
              <a:r>
                <a:rPr lang="en-PH" sz="1200" baseline="0">
                  <a:solidFill>
                    <a:schemeClr val="dk1"/>
                  </a:solidFill>
                  <a:effectLst/>
                  <a:latin typeface="+mn-lt"/>
                  <a:ea typeface="+mn-ea"/>
                  <a:cs typeface="+mn-cs"/>
                </a:rPr>
                <a:t> diastolic blood pressures.</a:t>
              </a:r>
              <a:endParaRPr lang="en-PH" sz="1200">
                <a:latin typeface="+mn-lt"/>
                <a:ea typeface="Cambria Math" panose="02040503050406030204" pitchFamily="18" charset="0"/>
              </a:endParaRPr>
            </a:p>
          </xdr:txBody>
        </xdr:sp>
      </mc:Fallback>
    </mc:AlternateContent>
    <xdr:clientData/>
  </xdr:twoCellAnchor>
  <xdr:twoCellAnchor>
    <xdr:from>
      <xdr:col>19</xdr:col>
      <xdr:colOff>1474839</xdr:colOff>
      <xdr:row>201</xdr:row>
      <xdr:rowOff>143813</xdr:rowOff>
    </xdr:from>
    <xdr:to>
      <xdr:col>22</xdr:col>
      <xdr:colOff>2066914</xdr:colOff>
      <xdr:row>204</xdr:row>
      <xdr:rowOff>72513</xdr:rowOff>
    </xdr:to>
    <xdr:sp macro="" textlink="">
      <xdr:nvSpPr>
        <xdr:cNvPr id="28" name="TextBox 27">
          <a:extLst>
            <a:ext uri="{FF2B5EF4-FFF2-40B4-BE49-F238E27FC236}">
              <a16:creationId xmlns:a16="http://schemas.microsoft.com/office/drawing/2014/main" id="{773EE725-E9AA-40EC-923C-0BE8E5EE462A}"/>
            </a:ext>
          </a:extLst>
        </xdr:cNvPr>
        <xdr:cNvSpPr txBox="1"/>
      </xdr:nvSpPr>
      <xdr:spPr>
        <a:xfrm>
          <a:off x="25109129" y="37432652"/>
          <a:ext cx="5545075" cy="481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a:t>H0</a:t>
          </a:r>
          <a:r>
            <a:rPr lang="en-PH" sz="1100"/>
            <a:t>: There is no linear relationship between the pre systolic and post</a:t>
          </a:r>
          <a:r>
            <a:rPr lang="en-PH" sz="1100" baseline="0"/>
            <a:t> </a:t>
          </a:r>
          <a:r>
            <a:rPr lang="en-PH" sz="1100">
              <a:solidFill>
                <a:schemeClr val="dk1"/>
              </a:solidFill>
              <a:effectLst/>
              <a:latin typeface="+mn-lt"/>
              <a:ea typeface="+mn-ea"/>
              <a:cs typeface="+mn-cs"/>
            </a:rPr>
            <a:t>systolic</a:t>
          </a:r>
          <a:r>
            <a:rPr lang="en-PH" sz="1100" baseline="0"/>
            <a:t> blood pressures.</a:t>
          </a:r>
        </a:p>
        <a:p>
          <a:r>
            <a:rPr lang="en-PH"/>
            <a:t>H1</a:t>
          </a:r>
          <a:r>
            <a:rPr lang="en-PH" sz="1100" baseline="0"/>
            <a:t>: </a:t>
          </a:r>
          <a:r>
            <a:rPr lang="en-PH" sz="1100">
              <a:solidFill>
                <a:schemeClr val="dk1"/>
              </a:solidFill>
              <a:effectLst/>
              <a:latin typeface="+mn-lt"/>
              <a:ea typeface="+mn-ea"/>
              <a:cs typeface="+mn-cs"/>
            </a:rPr>
            <a:t>There is a linear relationship between the pre systolic and post</a:t>
          </a:r>
          <a:r>
            <a:rPr lang="en-PH" sz="1100" baseline="0">
              <a:solidFill>
                <a:schemeClr val="dk1"/>
              </a:solidFill>
              <a:effectLst/>
              <a:latin typeface="+mn-lt"/>
              <a:ea typeface="+mn-ea"/>
              <a:cs typeface="+mn-cs"/>
            </a:rPr>
            <a:t> </a:t>
          </a:r>
          <a:r>
            <a:rPr lang="en-PH" sz="1100">
              <a:solidFill>
                <a:schemeClr val="dk1"/>
              </a:solidFill>
              <a:effectLst/>
              <a:latin typeface="+mn-lt"/>
              <a:ea typeface="+mn-ea"/>
              <a:cs typeface="+mn-cs"/>
            </a:rPr>
            <a:t>systolic</a:t>
          </a:r>
          <a:r>
            <a:rPr lang="en-PH" sz="1100" baseline="0">
              <a:solidFill>
                <a:schemeClr val="dk1"/>
              </a:solidFill>
              <a:effectLst/>
              <a:latin typeface="+mn-lt"/>
              <a:ea typeface="+mn-ea"/>
              <a:cs typeface="+mn-cs"/>
            </a:rPr>
            <a:t> blood pressures</a:t>
          </a:r>
          <a:r>
            <a:rPr lang="en-PH" sz="1100" baseline="0"/>
            <a:t>.</a:t>
          </a:r>
          <a:endParaRPr lang="en-PH" sz="1100"/>
        </a:p>
      </xdr:txBody>
    </xdr:sp>
    <xdr:clientData/>
  </xdr:twoCellAnchor>
  <xdr:twoCellAnchor>
    <xdr:from>
      <xdr:col>23</xdr:col>
      <xdr:colOff>259270</xdr:colOff>
      <xdr:row>200</xdr:row>
      <xdr:rowOff>172064</xdr:rowOff>
    </xdr:from>
    <xdr:to>
      <xdr:col>26</xdr:col>
      <xdr:colOff>309237</xdr:colOff>
      <xdr:row>205</xdr:row>
      <xdr:rowOff>74311</xdr:rowOff>
    </xdr:to>
    <xdr:sp macro="" textlink="">
      <xdr:nvSpPr>
        <xdr:cNvPr id="29" name="TextBox 28">
          <a:extLst>
            <a:ext uri="{FF2B5EF4-FFF2-40B4-BE49-F238E27FC236}">
              <a16:creationId xmlns:a16="http://schemas.microsoft.com/office/drawing/2014/main" id="{8CC34823-6753-480D-99D7-DAB623B6F22A}"/>
            </a:ext>
          </a:extLst>
        </xdr:cNvPr>
        <xdr:cNvSpPr txBox="1"/>
      </xdr:nvSpPr>
      <xdr:spPr>
        <a:xfrm>
          <a:off x="31120270" y="37276548"/>
          <a:ext cx="5592902" cy="8363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latin typeface="+mn-lt"/>
              <a:ea typeface="Cambria Math" panose="02040503050406030204" pitchFamily="18" charset="0"/>
            </a:rPr>
            <a:t>F</a:t>
          </a:r>
          <a:r>
            <a:rPr lang="en-PH" sz="1100" baseline="0">
              <a:latin typeface="+mn-lt"/>
              <a:ea typeface="Cambria Math" panose="02040503050406030204" pitchFamily="18" charset="0"/>
            </a:rPr>
            <a:t> =  </a:t>
          </a:r>
          <a:r>
            <a:rPr lang="en-PH" sz="1100" b="0" i="0" u="none" strike="noStrike">
              <a:solidFill>
                <a:schemeClr val="dk1"/>
              </a:solidFill>
              <a:effectLst/>
              <a:latin typeface="+mn-lt"/>
              <a:ea typeface="Cambria Math" panose="02040503050406030204" pitchFamily="18" charset="0"/>
              <a:cs typeface="+mn-cs"/>
            </a:rPr>
            <a:t>84.0809213054708</a:t>
          </a:r>
          <a:r>
            <a:rPr lang="en-PH">
              <a:effectLst/>
              <a:latin typeface="+mn-lt"/>
              <a:ea typeface="Cambria Math" panose="02040503050406030204" pitchFamily="18" charset="0"/>
            </a:rPr>
            <a:t> </a:t>
          </a:r>
        </a:p>
        <a:p>
          <a:pPr latinLnBrk="1"/>
          <a:r>
            <a:rPr lang="en-PH" sz="1100">
              <a:effectLst/>
              <a:latin typeface="+mn-lt"/>
              <a:ea typeface="Cambria Math" panose="02040503050406030204" pitchFamily="18" charset="0"/>
            </a:rPr>
            <a:t>Significance F = </a:t>
          </a:r>
          <a:r>
            <a:rPr lang="en-PH" sz="1100" b="0" i="0">
              <a:solidFill>
                <a:schemeClr val="dk1"/>
              </a:solidFill>
              <a:effectLst/>
              <a:latin typeface="+mn-lt"/>
              <a:ea typeface="+mn-ea"/>
              <a:cs typeface="+mn-cs"/>
            </a:rPr>
            <a:t>0.00000000000000184330324023234</a:t>
          </a:r>
        </a:p>
        <a:p>
          <a:pPr latinLnBrk="1"/>
          <a:r>
            <a:rPr lang="en-PH" sz="1100" b="0" i="0">
              <a:solidFill>
                <a:schemeClr val="dk1"/>
              </a:solidFill>
              <a:effectLst/>
              <a:latin typeface="+mn-lt"/>
              <a:ea typeface="+mn-ea"/>
              <a:cs typeface="+mn-cs"/>
            </a:rPr>
            <a:t>P-value</a:t>
          </a:r>
          <a:r>
            <a:rPr lang="en-PH" sz="1100" b="0" i="0" baseline="0">
              <a:solidFill>
                <a:schemeClr val="dk1"/>
              </a:solidFill>
              <a:effectLst/>
              <a:latin typeface="+mn-lt"/>
              <a:ea typeface="+mn-ea"/>
              <a:cs typeface="+mn-cs"/>
            </a:rPr>
            <a:t> = </a:t>
          </a:r>
          <a:r>
            <a:rPr lang="en-PH" sz="1100" b="0" i="0">
              <a:solidFill>
                <a:schemeClr val="dk1"/>
              </a:solidFill>
              <a:effectLst/>
              <a:latin typeface="+mn-lt"/>
              <a:ea typeface="+mn-ea"/>
              <a:cs typeface="+mn-cs"/>
            </a:rPr>
            <a:t>0.00000000000000184330324023234</a:t>
          </a:r>
          <a:endParaRPr lang="en-PH" sz="110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endParaRPr lang="en-PH" sz="1100">
            <a:effectLst/>
            <a:latin typeface="+mn-lt"/>
            <a:ea typeface="Cambria Math" panose="02040503050406030204" pitchFamily="18" charset="0"/>
          </a:endParaRPr>
        </a:p>
      </xdr:txBody>
    </xdr:sp>
    <xdr:clientData/>
  </xdr:twoCellAnchor>
  <xdr:twoCellAnchor>
    <xdr:from>
      <xdr:col>23</xdr:col>
      <xdr:colOff>259270</xdr:colOff>
      <xdr:row>206</xdr:row>
      <xdr:rowOff>13551</xdr:rowOff>
    </xdr:from>
    <xdr:to>
      <xdr:col>26</xdr:col>
      <xdr:colOff>309237</xdr:colOff>
      <xdr:row>211</xdr:row>
      <xdr:rowOff>5002</xdr:rowOff>
    </xdr:to>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48B0C74B-87B2-4E8F-80A6-1D7FDFE8096F}"/>
                </a:ext>
              </a:extLst>
            </xdr:cNvPr>
            <xdr:cNvSpPr txBox="1"/>
          </xdr:nvSpPr>
          <xdr:spPr>
            <a:xfrm>
              <a:off x="31120270" y="38236454"/>
              <a:ext cx="5592902" cy="937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m:rPr>
                      <m:nor/>
                    </m:rPr>
                    <a:rPr lang="en-PH" sz="1600" b="0" i="0">
                      <a:solidFill>
                        <a:schemeClr val="dk1"/>
                      </a:solidFill>
                      <a:effectLst/>
                      <a:latin typeface="Cambria Math" panose="02040503050406030204" pitchFamily="18" charset="0"/>
                      <a:ea typeface="Cambria Math" panose="02040503050406030204" pitchFamily="18" charset="0"/>
                      <a:cs typeface="+mn-cs"/>
                    </a:rPr>
                    <m:t>0.0000000000000018</m:t>
                  </m:r>
                  <m:r>
                    <a:rPr lang="en-US" sz="1600" b="0" i="1" baseline="0">
                      <a:solidFill>
                        <a:schemeClr val="dk1"/>
                      </a:solidFill>
                      <a:effectLst/>
                      <a:latin typeface="Cambria Math" panose="02040503050406030204" pitchFamily="18" charset="0"/>
                      <a:ea typeface="Cambria Math" panose="02040503050406030204" pitchFamily="18" charset="0"/>
                      <a:cs typeface="+mn-cs"/>
                    </a:rPr>
                    <m:t> ≤0.05</m:t>
                  </m:r>
                </m:oMath>
              </a14:m>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there is </a:t>
              </a:r>
              <a:r>
                <a:rPr lang="en-PH" sz="1200">
                  <a:solidFill>
                    <a:schemeClr val="dk1"/>
                  </a:solidFill>
                  <a:effectLst/>
                  <a:latin typeface="+mn-lt"/>
                  <a:ea typeface="+mn-ea"/>
                  <a:cs typeface="+mn-cs"/>
                </a:rPr>
                <a:t>a linear relationship between the pre systolic and post</a:t>
              </a:r>
              <a:r>
                <a:rPr lang="en-PH" sz="1200" baseline="0">
                  <a:solidFill>
                    <a:schemeClr val="dk1"/>
                  </a:solidFill>
                  <a:effectLst/>
                  <a:latin typeface="+mn-lt"/>
                  <a:ea typeface="+mn-ea"/>
                  <a:cs typeface="+mn-cs"/>
                </a:rPr>
                <a:t> </a:t>
              </a:r>
              <a:r>
                <a:rPr lang="en-PH" sz="1200">
                  <a:solidFill>
                    <a:schemeClr val="dk1"/>
                  </a:solidFill>
                  <a:effectLst/>
                  <a:latin typeface="+mn-lt"/>
                  <a:ea typeface="+mn-ea"/>
                  <a:cs typeface="+mn-cs"/>
                </a:rPr>
                <a:t>systolic</a:t>
              </a:r>
              <a:r>
                <a:rPr lang="en-PH" sz="1200" baseline="0">
                  <a:solidFill>
                    <a:schemeClr val="dk1"/>
                  </a:solidFill>
                  <a:effectLst/>
                  <a:latin typeface="+mn-lt"/>
                  <a:ea typeface="+mn-ea"/>
                  <a:cs typeface="+mn-cs"/>
                </a:rPr>
                <a:t> blood pressures.</a:t>
              </a:r>
              <a:endParaRPr lang="en-PH" sz="1200">
                <a:latin typeface="+mn-lt"/>
                <a:ea typeface="Cambria Math" panose="02040503050406030204" pitchFamily="18" charset="0"/>
              </a:endParaRPr>
            </a:p>
          </xdr:txBody>
        </xdr:sp>
      </mc:Choice>
      <mc:Fallback xmlns="">
        <xdr:sp macro="" textlink="">
          <xdr:nvSpPr>
            <xdr:cNvPr id="30" name="TextBox 29">
              <a:extLst>
                <a:ext uri="{FF2B5EF4-FFF2-40B4-BE49-F238E27FC236}">
                  <a16:creationId xmlns:a16="http://schemas.microsoft.com/office/drawing/2014/main" id="{48B0C74B-87B2-4E8F-80A6-1D7FDFE8096F}"/>
                </a:ext>
              </a:extLst>
            </xdr:cNvPr>
            <xdr:cNvSpPr txBox="1"/>
          </xdr:nvSpPr>
          <xdr:spPr>
            <a:xfrm>
              <a:off x="31120270" y="38236454"/>
              <a:ext cx="5592902" cy="937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b="0" i="0">
                  <a:solidFill>
                    <a:schemeClr val="dk1"/>
                  </a:solidFill>
                  <a:effectLst/>
                  <a:latin typeface="Cambria Math" panose="02040503050406030204" pitchFamily="18" charset="0"/>
                  <a:ea typeface="Cambria Math" panose="02040503050406030204" pitchFamily="18" charset="0"/>
                  <a:cs typeface="+mn-cs"/>
                </a:rPr>
                <a:t>"0.0000000000000018</a:t>
              </a:r>
              <a:r>
                <a:rPr lang="en-US" sz="1600" b="0" i="0" baseline="0">
                  <a:solidFill>
                    <a:schemeClr val="dk1"/>
                  </a:solidFill>
                  <a:effectLst/>
                  <a:latin typeface="Cambria Math" panose="02040503050406030204" pitchFamily="18" charset="0"/>
                  <a:ea typeface="Cambria Math" panose="02040503050406030204" pitchFamily="18" charset="0"/>
                  <a:cs typeface="+mn-cs"/>
                </a:rPr>
                <a:t>" ≤0.05</a:t>
              </a:r>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there is </a:t>
              </a:r>
              <a:r>
                <a:rPr lang="en-PH" sz="1200">
                  <a:solidFill>
                    <a:schemeClr val="dk1"/>
                  </a:solidFill>
                  <a:effectLst/>
                  <a:latin typeface="+mn-lt"/>
                  <a:ea typeface="+mn-ea"/>
                  <a:cs typeface="+mn-cs"/>
                </a:rPr>
                <a:t>a linear relationship between the pre systolic and post</a:t>
              </a:r>
              <a:r>
                <a:rPr lang="en-PH" sz="1200" baseline="0">
                  <a:solidFill>
                    <a:schemeClr val="dk1"/>
                  </a:solidFill>
                  <a:effectLst/>
                  <a:latin typeface="+mn-lt"/>
                  <a:ea typeface="+mn-ea"/>
                  <a:cs typeface="+mn-cs"/>
                </a:rPr>
                <a:t> </a:t>
              </a:r>
              <a:r>
                <a:rPr lang="en-PH" sz="1200">
                  <a:solidFill>
                    <a:schemeClr val="dk1"/>
                  </a:solidFill>
                  <a:effectLst/>
                  <a:latin typeface="+mn-lt"/>
                  <a:ea typeface="+mn-ea"/>
                  <a:cs typeface="+mn-cs"/>
                </a:rPr>
                <a:t>systolic</a:t>
              </a:r>
              <a:r>
                <a:rPr lang="en-PH" sz="1200" baseline="0">
                  <a:solidFill>
                    <a:schemeClr val="dk1"/>
                  </a:solidFill>
                  <a:effectLst/>
                  <a:latin typeface="+mn-lt"/>
                  <a:ea typeface="+mn-ea"/>
                  <a:cs typeface="+mn-cs"/>
                </a:rPr>
                <a:t> blood pressures.</a:t>
              </a:r>
              <a:endParaRPr lang="en-PH" sz="1200">
                <a:latin typeface="+mn-lt"/>
                <a:ea typeface="Cambria Math" panose="02040503050406030204" pitchFamily="18" charset="0"/>
              </a:endParaRPr>
            </a:p>
          </xdr:txBody>
        </xdr:sp>
      </mc:Fallback>
    </mc:AlternateContent>
    <xdr:clientData/>
  </xdr:twoCellAnchor>
  <xdr:twoCellAnchor>
    <xdr:from>
      <xdr:col>27</xdr:col>
      <xdr:colOff>574005</xdr:colOff>
      <xdr:row>335</xdr:row>
      <xdr:rowOff>48381</xdr:rowOff>
    </xdr:from>
    <xdr:to>
      <xdr:col>34</xdr:col>
      <xdr:colOff>407831</xdr:colOff>
      <xdr:row>339</xdr:row>
      <xdr:rowOff>171718</xdr:rowOff>
    </xdr:to>
    <xdr:sp macro="" textlink="">
      <xdr:nvSpPr>
        <xdr:cNvPr id="31" name="TextBox 30">
          <a:extLst>
            <a:ext uri="{FF2B5EF4-FFF2-40B4-BE49-F238E27FC236}">
              <a16:creationId xmlns:a16="http://schemas.microsoft.com/office/drawing/2014/main" id="{289EF465-9184-45D4-AD8B-9D1A90FAD696}"/>
            </a:ext>
          </a:extLst>
        </xdr:cNvPr>
        <xdr:cNvSpPr txBox="1"/>
      </xdr:nvSpPr>
      <xdr:spPr>
        <a:xfrm>
          <a:off x="36291413" y="61437677"/>
          <a:ext cx="6112277" cy="853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b="1"/>
            <a:t>New Medicine</a:t>
          </a:r>
        </a:p>
        <a:p>
          <a:r>
            <a:rPr lang="en-PH"/>
            <a:t>H0</a:t>
          </a:r>
          <a:r>
            <a:rPr lang="en-PH" sz="1100"/>
            <a:t>: The new medicine</a:t>
          </a:r>
          <a:r>
            <a:rPr lang="en-PH" sz="1100" baseline="0"/>
            <a:t> has the same effect or equal effect on post diastolic blood pressure as the placebo.</a:t>
          </a:r>
        </a:p>
        <a:p>
          <a:pPr marL="0" marR="0" lvl="0" indent="0" defTabSz="914400" eaLnBrk="1" fontAlgn="auto" latinLnBrk="0" hangingPunct="1">
            <a:lnSpc>
              <a:spcPct val="100000"/>
            </a:lnSpc>
            <a:spcBef>
              <a:spcPts val="0"/>
            </a:spcBef>
            <a:spcAft>
              <a:spcPts val="0"/>
            </a:spcAft>
            <a:buClrTx/>
            <a:buSzTx/>
            <a:buFontTx/>
            <a:buNone/>
            <a:tabLst/>
            <a:defRPr/>
          </a:pPr>
          <a:r>
            <a:rPr lang="en-PH"/>
            <a:t>H1</a:t>
          </a:r>
          <a:r>
            <a:rPr lang="en-PH" sz="1100" baseline="0"/>
            <a:t>: </a:t>
          </a:r>
          <a:r>
            <a:rPr lang="en-PH" sz="1100">
              <a:solidFill>
                <a:schemeClr val="dk1"/>
              </a:solidFill>
              <a:effectLst/>
              <a:latin typeface="+mn-lt"/>
              <a:ea typeface="+mn-ea"/>
              <a:cs typeface="+mn-cs"/>
            </a:rPr>
            <a:t>The new medicine</a:t>
          </a:r>
          <a:r>
            <a:rPr lang="en-PH" sz="1100" baseline="0">
              <a:solidFill>
                <a:schemeClr val="dk1"/>
              </a:solidFill>
              <a:effectLst/>
              <a:latin typeface="+mn-lt"/>
              <a:ea typeface="+mn-ea"/>
              <a:cs typeface="+mn-cs"/>
            </a:rPr>
            <a:t> has a different effect on post diastolic blood pressure than the placebo.</a:t>
          </a:r>
          <a:endParaRPr lang="en-PH">
            <a:effectLst/>
          </a:endParaRPr>
        </a:p>
      </xdr:txBody>
    </xdr:sp>
    <xdr:clientData/>
  </xdr:twoCellAnchor>
  <xdr:twoCellAnchor>
    <xdr:from>
      <xdr:col>34</xdr:col>
      <xdr:colOff>632176</xdr:colOff>
      <xdr:row>335</xdr:row>
      <xdr:rowOff>48381</xdr:rowOff>
    </xdr:from>
    <xdr:to>
      <xdr:col>36</xdr:col>
      <xdr:colOff>1717505</xdr:colOff>
      <xdr:row>347</xdr:row>
      <xdr:rowOff>172217</xdr:rowOff>
    </xdr:to>
    <xdr:grpSp>
      <xdr:nvGrpSpPr>
        <xdr:cNvPr id="44" name="Group 43">
          <a:extLst>
            <a:ext uri="{FF2B5EF4-FFF2-40B4-BE49-F238E27FC236}">
              <a16:creationId xmlns:a16="http://schemas.microsoft.com/office/drawing/2014/main" id="{28AEA0BC-4D48-417F-F256-45AF4799E53B}"/>
            </a:ext>
          </a:extLst>
        </xdr:cNvPr>
        <xdr:cNvGrpSpPr/>
      </xdr:nvGrpSpPr>
      <xdr:grpSpPr>
        <a:xfrm>
          <a:off x="44310016" y="122577981"/>
          <a:ext cx="5047729" cy="4512956"/>
          <a:chOff x="42647985" y="62663137"/>
          <a:chExt cx="5015645" cy="2374437"/>
        </a:xfrm>
      </xdr:grpSpPr>
      <xdr:sp macro="" textlink="">
        <xdr:nvSpPr>
          <xdr:cNvPr id="32" name="TextBox 31">
            <a:extLst>
              <a:ext uri="{FF2B5EF4-FFF2-40B4-BE49-F238E27FC236}">
                <a16:creationId xmlns:a16="http://schemas.microsoft.com/office/drawing/2014/main" id="{2F40CC7B-7DCD-4424-B786-A80D7D85B6E2}"/>
              </a:ext>
            </a:extLst>
          </xdr:cNvPr>
          <xdr:cNvSpPr txBox="1"/>
        </xdr:nvSpPr>
        <xdr:spPr>
          <a:xfrm>
            <a:off x="42647985" y="62663137"/>
            <a:ext cx="5015645" cy="7761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latin typeface="+mn-lt"/>
                <a:ea typeface="Cambria Math" panose="02040503050406030204" pitchFamily="18" charset="0"/>
              </a:rPr>
              <a:t>New Medicine</a:t>
            </a:r>
          </a:p>
          <a:p>
            <a:pPr latinLnBrk="1"/>
            <a:r>
              <a:rPr lang="en-PH" sz="1100" b="0" i="0">
                <a:solidFill>
                  <a:schemeClr val="dk1"/>
                </a:solidFill>
                <a:effectLst/>
                <a:latin typeface="+mn-lt"/>
                <a:ea typeface="+mn-ea"/>
                <a:cs typeface="+mn-cs"/>
              </a:rPr>
              <a:t>P-value</a:t>
            </a:r>
            <a:r>
              <a:rPr lang="en-PH" sz="1100" b="0" i="0" baseline="0">
                <a:solidFill>
                  <a:schemeClr val="dk1"/>
                </a:solidFill>
                <a:effectLst/>
                <a:latin typeface="+mn-lt"/>
                <a:ea typeface="+mn-ea"/>
                <a:cs typeface="+mn-cs"/>
              </a:rPr>
              <a:t> = </a:t>
            </a:r>
            <a:r>
              <a:rPr lang="en-PH" sz="1100" b="0" i="0">
                <a:solidFill>
                  <a:schemeClr val="dk1"/>
                </a:solidFill>
                <a:effectLst/>
                <a:latin typeface="+mn-lt"/>
                <a:ea typeface="+mn-ea"/>
                <a:cs typeface="+mn-cs"/>
              </a:rPr>
              <a:t>0.780439567899722</a:t>
            </a:r>
            <a:endParaRPr lang="en-PH" sz="110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p>
          <a:p>
            <a:r>
              <a:rPr lang="en-PH" sz="1100" baseline="0">
                <a:effectLst/>
                <a:latin typeface="+mn-lt"/>
                <a:ea typeface="Cambria Math" panose="02040503050406030204" pitchFamily="18" charset="0"/>
              </a:rPr>
              <a:t>Coefficient = -0.267771989476716</a:t>
            </a:r>
            <a:endParaRPr lang="en-PH" sz="1100">
              <a:effectLst/>
              <a:latin typeface="+mn-lt"/>
              <a:ea typeface="Cambria Math" panose="02040503050406030204" pitchFamily="18" charset="0"/>
            </a:endParaRPr>
          </a:p>
        </xdr:txBody>
      </xdr:sp>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66203DE6-61E2-41E4-83FE-D588771763FB}"/>
                  </a:ext>
                </a:extLst>
              </xdr:cNvPr>
              <xdr:cNvSpPr txBox="1"/>
            </xdr:nvSpPr>
            <xdr:spPr>
              <a:xfrm>
                <a:off x="42647985" y="63672796"/>
                <a:ext cx="4974823" cy="1364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m:rPr>
                        <m:nor/>
                      </m:rPr>
                      <a:rPr lang="en-PH" sz="1600" b="0" i="0">
                        <a:solidFill>
                          <a:schemeClr val="dk1"/>
                        </a:solidFill>
                        <a:effectLst/>
                        <a:latin typeface="Cambria Math" panose="02040503050406030204" pitchFamily="18" charset="0"/>
                        <a:ea typeface="Cambria Math" panose="02040503050406030204" pitchFamily="18" charset="0"/>
                        <a:cs typeface="+mn-cs"/>
                      </a:rPr>
                      <m:t>0.780439567899722</m:t>
                    </m:r>
                    <m:r>
                      <a:rPr lang="en-US" sz="1600" b="0" i="1" baseline="0">
                        <a:solidFill>
                          <a:schemeClr val="dk1"/>
                        </a:solidFill>
                        <a:effectLst/>
                        <a:latin typeface="Cambria Math" panose="02040503050406030204" pitchFamily="18" charset="0"/>
                        <a:ea typeface="Cambria Math" panose="02040503050406030204" pitchFamily="18" charset="0"/>
                        <a:cs typeface="+mn-cs"/>
                      </a:rPr>
                      <m:t> &gt;0.05</m:t>
                    </m:r>
                  </m:oMath>
                </a14:m>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the new medicine</a:t>
                </a:r>
                <a:r>
                  <a:rPr lang="en-PH" sz="1200" baseline="0">
                    <a:solidFill>
                      <a:schemeClr val="dk1"/>
                    </a:solidFill>
                    <a:effectLst/>
                    <a:latin typeface="+mn-lt"/>
                    <a:ea typeface="+mn-ea"/>
                    <a:cs typeface="+mn-cs"/>
                  </a:rPr>
                  <a:t> has the same effect or equal effect on post diastolic blood pressure as the placebo.</a:t>
                </a:r>
              </a:p>
              <a:p>
                <a:pPr algn="ctr"/>
                <a:endParaRPr lang="en-PH" sz="1200" baseline="0">
                  <a:solidFill>
                    <a:schemeClr val="dk1"/>
                  </a:solidFill>
                  <a:effectLst/>
                  <a:latin typeface="+mn-lt"/>
                  <a:ea typeface="+mn-ea"/>
                  <a:cs typeface="+mn-cs"/>
                </a:endParaRPr>
              </a:p>
              <a:p>
                <a:pPr algn="ctr"/>
                <a:r>
                  <a:rPr lang="en-PH" sz="1200" b="0"/>
                  <a:t>The predicted </a:t>
                </a:r>
                <a:r>
                  <a:rPr lang="en-PH" sz="1200" b="0">
                    <a:solidFill>
                      <a:schemeClr val="dk1"/>
                    </a:solidFill>
                    <a:effectLst/>
                    <a:latin typeface="+mn-lt"/>
                    <a:ea typeface="+mn-ea"/>
                    <a:cs typeface="+mn-cs"/>
                  </a:rPr>
                  <a:t>0.27</a:t>
                </a:r>
                <a:r>
                  <a:rPr lang="en-PH" sz="1200" b="0"/>
                  <a:t> mmHg lower blood pressure is </a:t>
                </a:r>
                <a:r>
                  <a:rPr lang="en-PH" sz="1200" b="0">
                    <a:solidFill>
                      <a:schemeClr val="dk1"/>
                    </a:solidFill>
                    <a:effectLst/>
                    <a:latin typeface="+mn-lt"/>
                    <a:ea typeface="+mn-ea"/>
                    <a:cs typeface="+mn-cs"/>
                  </a:rPr>
                  <a:t>not statistically significant</a:t>
                </a:r>
                <a:r>
                  <a:rPr lang="en-PH" sz="1200" b="0"/>
                  <a:t>.</a:t>
                </a:r>
                <a:endParaRPr lang="en-PH" sz="1200" b="0">
                  <a:latin typeface="+mn-lt"/>
                  <a:ea typeface="Cambria Math" panose="02040503050406030204" pitchFamily="18" charset="0"/>
                </a:endParaRPr>
              </a:p>
            </xdr:txBody>
          </xdr:sp>
        </mc:Choice>
        <mc:Fallback xmlns="">
          <xdr:sp macro="" textlink="">
            <xdr:nvSpPr>
              <xdr:cNvPr id="33" name="TextBox 32">
                <a:extLst>
                  <a:ext uri="{FF2B5EF4-FFF2-40B4-BE49-F238E27FC236}">
                    <a16:creationId xmlns:a16="http://schemas.microsoft.com/office/drawing/2014/main" id="{66203DE6-61E2-41E4-83FE-D588771763FB}"/>
                  </a:ext>
                </a:extLst>
              </xdr:cNvPr>
              <xdr:cNvSpPr txBox="1"/>
            </xdr:nvSpPr>
            <xdr:spPr>
              <a:xfrm>
                <a:off x="42647985" y="63672796"/>
                <a:ext cx="4974823" cy="1364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b="0" i="0">
                    <a:solidFill>
                      <a:schemeClr val="dk1"/>
                    </a:solidFill>
                    <a:effectLst/>
                    <a:latin typeface="Cambria Math" panose="02040503050406030204" pitchFamily="18" charset="0"/>
                    <a:ea typeface="Cambria Math" panose="02040503050406030204" pitchFamily="18" charset="0"/>
                    <a:cs typeface="+mn-cs"/>
                  </a:rPr>
                  <a:t>"0.780439567899722</a:t>
                </a:r>
                <a:r>
                  <a:rPr lang="en-US" sz="1600" b="0" i="0" baseline="0">
                    <a:solidFill>
                      <a:schemeClr val="dk1"/>
                    </a:solidFill>
                    <a:effectLst/>
                    <a:latin typeface="Cambria Math" panose="02040503050406030204" pitchFamily="18" charset="0"/>
                    <a:ea typeface="Cambria Math" panose="02040503050406030204" pitchFamily="18" charset="0"/>
                    <a:cs typeface="+mn-cs"/>
                  </a:rPr>
                  <a:t>" &gt;0.05</a:t>
                </a:r>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the new medicine</a:t>
                </a:r>
                <a:r>
                  <a:rPr lang="en-PH" sz="1200" baseline="0">
                    <a:solidFill>
                      <a:schemeClr val="dk1"/>
                    </a:solidFill>
                    <a:effectLst/>
                    <a:latin typeface="+mn-lt"/>
                    <a:ea typeface="+mn-ea"/>
                    <a:cs typeface="+mn-cs"/>
                  </a:rPr>
                  <a:t> has the same effect or equal effect on post diastolic blood pressure as the placebo.</a:t>
                </a:r>
              </a:p>
              <a:p>
                <a:pPr algn="ctr"/>
                <a:endParaRPr lang="en-PH" sz="1200" baseline="0">
                  <a:solidFill>
                    <a:schemeClr val="dk1"/>
                  </a:solidFill>
                  <a:effectLst/>
                  <a:latin typeface="+mn-lt"/>
                  <a:ea typeface="+mn-ea"/>
                  <a:cs typeface="+mn-cs"/>
                </a:endParaRPr>
              </a:p>
              <a:p>
                <a:pPr algn="ctr"/>
                <a:r>
                  <a:rPr lang="en-PH" sz="1200" b="0"/>
                  <a:t>The predicted </a:t>
                </a:r>
                <a:r>
                  <a:rPr lang="en-PH" sz="1200" b="0">
                    <a:solidFill>
                      <a:schemeClr val="dk1"/>
                    </a:solidFill>
                    <a:effectLst/>
                    <a:latin typeface="+mn-lt"/>
                    <a:ea typeface="+mn-ea"/>
                    <a:cs typeface="+mn-cs"/>
                  </a:rPr>
                  <a:t>0.27</a:t>
                </a:r>
                <a:r>
                  <a:rPr lang="en-PH" sz="1200" b="0"/>
                  <a:t> mmHg lower blood pressure is </a:t>
                </a:r>
                <a:r>
                  <a:rPr lang="en-PH" sz="1200" b="0">
                    <a:solidFill>
                      <a:schemeClr val="dk1"/>
                    </a:solidFill>
                    <a:effectLst/>
                    <a:latin typeface="+mn-lt"/>
                    <a:ea typeface="+mn-ea"/>
                    <a:cs typeface="+mn-cs"/>
                  </a:rPr>
                  <a:t>not statistically significant</a:t>
                </a:r>
                <a:r>
                  <a:rPr lang="en-PH" sz="1200" b="0"/>
                  <a:t>.</a:t>
                </a:r>
                <a:endParaRPr lang="en-PH" sz="1200" b="0">
                  <a:latin typeface="+mn-lt"/>
                  <a:ea typeface="Cambria Math" panose="02040503050406030204" pitchFamily="18" charset="0"/>
                </a:endParaRPr>
              </a:p>
            </xdr:txBody>
          </xdr:sp>
        </mc:Fallback>
      </mc:AlternateContent>
    </xdr:grpSp>
    <xdr:clientData/>
  </xdr:twoCellAnchor>
  <xdr:twoCellAnchor>
    <xdr:from>
      <xdr:col>27</xdr:col>
      <xdr:colOff>575733</xdr:colOff>
      <xdr:row>333</xdr:row>
      <xdr:rowOff>48381</xdr:rowOff>
    </xdr:from>
    <xdr:to>
      <xdr:col>30</xdr:col>
      <xdr:colOff>314477</xdr:colOff>
      <xdr:row>334</xdr:row>
      <xdr:rowOff>108857</xdr:rowOff>
    </xdr:to>
    <xdr:sp macro="" textlink="">
      <xdr:nvSpPr>
        <xdr:cNvPr id="37" name="TextBox 36">
          <a:extLst>
            <a:ext uri="{FF2B5EF4-FFF2-40B4-BE49-F238E27FC236}">
              <a16:creationId xmlns:a16="http://schemas.microsoft.com/office/drawing/2014/main" id="{369709E0-0BED-42C2-9076-241261FE1CFD}"/>
            </a:ext>
          </a:extLst>
        </xdr:cNvPr>
        <xdr:cNvSpPr txBox="1"/>
      </xdr:nvSpPr>
      <xdr:spPr>
        <a:xfrm>
          <a:off x="36333289" y="60477803"/>
          <a:ext cx="2589188" cy="241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t>Baseline</a:t>
          </a:r>
          <a:r>
            <a:rPr lang="en-PH" sz="1400" b="1" baseline="0"/>
            <a:t> Treatment: Placebo</a:t>
          </a:r>
          <a:endParaRPr lang="en-PH" sz="1400" b="1"/>
        </a:p>
      </xdr:txBody>
    </xdr:sp>
    <xdr:clientData/>
  </xdr:twoCellAnchor>
  <xdr:twoCellAnchor>
    <xdr:from>
      <xdr:col>27</xdr:col>
      <xdr:colOff>574005</xdr:colOff>
      <xdr:row>340</xdr:row>
      <xdr:rowOff>64287</xdr:rowOff>
    </xdr:from>
    <xdr:to>
      <xdr:col>34</xdr:col>
      <xdr:colOff>331141</xdr:colOff>
      <xdr:row>343</xdr:row>
      <xdr:rowOff>175025</xdr:rowOff>
    </xdr:to>
    <xdr:sp macro="" textlink="">
      <xdr:nvSpPr>
        <xdr:cNvPr id="38" name="TextBox 37">
          <a:extLst>
            <a:ext uri="{FF2B5EF4-FFF2-40B4-BE49-F238E27FC236}">
              <a16:creationId xmlns:a16="http://schemas.microsoft.com/office/drawing/2014/main" id="{173397F6-6636-4026-9BA2-3305E9ADF338}"/>
            </a:ext>
          </a:extLst>
        </xdr:cNvPr>
        <xdr:cNvSpPr txBox="1"/>
      </xdr:nvSpPr>
      <xdr:spPr>
        <a:xfrm>
          <a:off x="36291413" y="62365836"/>
          <a:ext cx="6035587" cy="6688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b="1"/>
            <a:t>Old Medicine</a:t>
          </a:r>
        </a:p>
        <a:p>
          <a:r>
            <a:rPr lang="en-PH"/>
            <a:t>H0</a:t>
          </a:r>
          <a:r>
            <a:rPr lang="en-PH" sz="1100"/>
            <a:t>: The old medicine</a:t>
          </a:r>
          <a:r>
            <a:rPr lang="en-PH" sz="1100" baseline="0"/>
            <a:t> has the same effect or equal effect on </a:t>
          </a:r>
          <a:r>
            <a:rPr lang="en-PH" sz="1100" baseline="0">
              <a:solidFill>
                <a:schemeClr val="dk1"/>
              </a:solidFill>
              <a:effectLst/>
              <a:latin typeface="+mn-lt"/>
              <a:ea typeface="+mn-ea"/>
              <a:cs typeface="+mn-cs"/>
            </a:rPr>
            <a:t>post diastolic</a:t>
          </a:r>
          <a:r>
            <a:rPr lang="en-PH" sz="1100" baseline="0"/>
            <a:t> blood pressure as the placebo.</a:t>
          </a:r>
        </a:p>
        <a:p>
          <a:pPr marL="0" marR="0" lvl="0" indent="0" defTabSz="914400" eaLnBrk="1" fontAlgn="auto" latinLnBrk="0" hangingPunct="1">
            <a:lnSpc>
              <a:spcPct val="100000"/>
            </a:lnSpc>
            <a:spcBef>
              <a:spcPts val="0"/>
            </a:spcBef>
            <a:spcAft>
              <a:spcPts val="0"/>
            </a:spcAft>
            <a:buClrTx/>
            <a:buSzTx/>
            <a:buFontTx/>
            <a:buNone/>
            <a:tabLst/>
            <a:defRPr/>
          </a:pPr>
          <a:r>
            <a:rPr lang="en-PH"/>
            <a:t>H1</a:t>
          </a:r>
          <a:r>
            <a:rPr lang="en-PH" sz="1100" baseline="0"/>
            <a:t>: </a:t>
          </a:r>
          <a:r>
            <a:rPr lang="en-PH" sz="1100">
              <a:solidFill>
                <a:schemeClr val="dk1"/>
              </a:solidFill>
              <a:effectLst/>
              <a:latin typeface="+mn-lt"/>
              <a:ea typeface="+mn-ea"/>
              <a:cs typeface="+mn-cs"/>
            </a:rPr>
            <a:t>The old medicine</a:t>
          </a:r>
          <a:r>
            <a:rPr lang="en-PH" sz="1100" baseline="0">
              <a:solidFill>
                <a:schemeClr val="dk1"/>
              </a:solidFill>
              <a:effectLst/>
              <a:latin typeface="+mn-lt"/>
              <a:ea typeface="+mn-ea"/>
              <a:cs typeface="+mn-cs"/>
            </a:rPr>
            <a:t> has a different effect on post diastolic blood pressure than the placebo.</a:t>
          </a:r>
          <a:endParaRPr lang="en-PH">
            <a:effectLst/>
          </a:endParaRPr>
        </a:p>
      </xdr:txBody>
    </xdr:sp>
    <xdr:clientData/>
  </xdr:twoCellAnchor>
  <xdr:twoCellAnchor>
    <xdr:from>
      <xdr:col>27</xdr:col>
      <xdr:colOff>574005</xdr:colOff>
      <xdr:row>344</xdr:row>
      <xdr:rowOff>67592</xdr:rowOff>
    </xdr:from>
    <xdr:to>
      <xdr:col>34</xdr:col>
      <xdr:colOff>142875</xdr:colOff>
      <xdr:row>347</xdr:row>
      <xdr:rowOff>174621</xdr:rowOff>
    </xdr:to>
    <xdr:sp macro="" textlink="">
      <xdr:nvSpPr>
        <xdr:cNvPr id="39" name="TextBox 38">
          <a:extLst>
            <a:ext uri="{FF2B5EF4-FFF2-40B4-BE49-F238E27FC236}">
              <a16:creationId xmlns:a16="http://schemas.microsoft.com/office/drawing/2014/main" id="{239F33A7-ACF6-4D6A-9E96-1D8F0CAF9E69}"/>
            </a:ext>
          </a:extLst>
        </xdr:cNvPr>
        <xdr:cNvSpPr txBox="1"/>
      </xdr:nvSpPr>
      <xdr:spPr>
        <a:xfrm>
          <a:off x="36304661" y="61813405"/>
          <a:ext cx="5819652" cy="6547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b="1"/>
            <a:t>None</a:t>
          </a:r>
        </a:p>
        <a:p>
          <a:r>
            <a:rPr lang="en-PH"/>
            <a:t>H0</a:t>
          </a:r>
          <a:r>
            <a:rPr lang="en-PH" sz="1100"/>
            <a:t>: No treatment</a:t>
          </a:r>
          <a:r>
            <a:rPr lang="en-PH" sz="1100" baseline="0"/>
            <a:t> has the same effect or equal effect on </a:t>
          </a:r>
          <a:r>
            <a:rPr lang="en-PH" sz="1100" baseline="0">
              <a:solidFill>
                <a:schemeClr val="dk1"/>
              </a:solidFill>
              <a:effectLst/>
              <a:latin typeface="+mn-lt"/>
              <a:ea typeface="+mn-ea"/>
              <a:cs typeface="+mn-cs"/>
            </a:rPr>
            <a:t>post diastolic</a:t>
          </a:r>
          <a:r>
            <a:rPr lang="en-PH" sz="1100" baseline="0"/>
            <a:t> blood pressure as the placebo.</a:t>
          </a:r>
        </a:p>
        <a:p>
          <a:pPr marL="0" marR="0" lvl="0" indent="0" defTabSz="914400" eaLnBrk="1" fontAlgn="auto" latinLnBrk="0" hangingPunct="1">
            <a:lnSpc>
              <a:spcPct val="100000"/>
            </a:lnSpc>
            <a:spcBef>
              <a:spcPts val="0"/>
            </a:spcBef>
            <a:spcAft>
              <a:spcPts val="0"/>
            </a:spcAft>
            <a:buClrTx/>
            <a:buSzTx/>
            <a:buFontTx/>
            <a:buNone/>
            <a:tabLst/>
            <a:defRPr/>
          </a:pPr>
          <a:r>
            <a:rPr lang="en-PH"/>
            <a:t>H1</a:t>
          </a:r>
          <a:r>
            <a:rPr lang="en-PH" sz="1100" baseline="0"/>
            <a:t>: </a:t>
          </a:r>
          <a:r>
            <a:rPr lang="en-PH" sz="1100">
              <a:solidFill>
                <a:schemeClr val="dk1"/>
              </a:solidFill>
              <a:effectLst/>
              <a:latin typeface="+mn-lt"/>
              <a:ea typeface="+mn-ea"/>
              <a:cs typeface="+mn-cs"/>
            </a:rPr>
            <a:t>No treatment</a:t>
          </a:r>
          <a:r>
            <a:rPr lang="en-PH" sz="1100" baseline="0">
              <a:solidFill>
                <a:schemeClr val="dk1"/>
              </a:solidFill>
              <a:effectLst/>
              <a:latin typeface="+mn-lt"/>
              <a:ea typeface="+mn-ea"/>
              <a:cs typeface="+mn-cs"/>
            </a:rPr>
            <a:t> has a different effect on post diastolic blood pressure than the placebo.</a:t>
          </a:r>
          <a:endParaRPr lang="en-PH">
            <a:effectLst/>
          </a:endParaRPr>
        </a:p>
      </xdr:txBody>
    </xdr:sp>
    <xdr:clientData/>
  </xdr:twoCellAnchor>
  <xdr:twoCellAnchor>
    <xdr:from>
      <xdr:col>34</xdr:col>
      <xdr:colOff>632176</xdr:colOff>
      <xdr:row>351</xdr:row>
      <xdr:rowOff>87993</xdr:rowOff>
    </xdr:from>
    <xdr:to>
      <xdr:col>36</xdr:col>
      <xdr:colOff>1717505</xdr:colOff>
      <xdr:row>364</xdr:row>
      <xdr:rowOff>37525</xdr:rowOff>
    </xdr:to>
    <xdr:grpSp>
      <xdr:nvGrpSpPr>
        <xdr:cNvPr id="45" name="Group 44">
          <a:extLst>
            <a:ext uri="{FF2B5EF4-FFF2-40B4-BE49-F238E27FC236}">
              <a16:creationId xmlns:a16="http://schemas.microsoft.com/office/drawing/2014/main" id="{07C51648-50C8-3B61-C684-6BE6B1DE00CE}"/>
            </a:ext>
          </a:extLst>
        </xdr:cNvPr>
        <xdr:cNvGrpSpPr/>
      </xdr:nvGrpSpPr>
      <xdr:grpSpPr>
        <a:xfrm>
          <a:off x="44310016" y="128469753"/>
          <a:ext cx="5047729" cy="4704412"/>
          <a:chOff x="42609018" y="65345537"/>
          <a:chExt cx="5015645" cy="2382585"/>
        </a:xfrm>
      </xdr:grpSpPr>
      <xdr:sp macro="" textlink="">
        <xdr:nvSpPr>
          <xdr:cNvPr id="40" name="TextBox 39">
            <a:extLst>
              <a:ext uri="{FF2B5EF4-FFF2-40B4-BE49-F238E27FC236}">
                <a16:creationId xmlns:a16="http://schemas.microsoft.com/office/drawing/2014/main" id="{C66F4B99-CCDF-496E-A696-4CE0F7636F8D}"/>
              </a:ext>
            </a:extLst>
          </xdr:cNvPr>
          <xdr:cNvSpPr txBox="1"/>
        </xdr:nvSpPr>
        <xdr:spPr>
          <a:xfrm>
            <a:off x="42609018" y="65345537"/>
            <a:ext cx="5015645" cy="779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latin typeface="+mn-lt"/>
                <a:ea typeface="Cambria Math" panose="02040503050406030204" pitchFamily="18" charset="0"/>
              </a:rPr>
              <a:t>Old Medicine</a:t>
            </a:r>
          </a:p>
          <a:p>
            <a:pPr latinLnBrk="1"/>
            <a:r>
              <a:rPr lang="en-PH" sz="1100" b="0" i="0">
                <a:solidFill>
                  <a:schemeClr val="dk1"/>
                </a:solidFill>
                <a:effectLst/>
                <a:latin typeface="+mn-lt"/>
                <a:ea typeface="+mn-ea"/>
                <a:cs typeface="+mn-cs"/>
              </a:rPr>
              <a:t>P-value</a:t>
            </a:r>
            <a:r>
              <a:rPr lang="en-PH" sz="1100" b="0" i="0" baseline="0">
                <a:solidFill>
                  <a:schemeClr val="dk1"/>
                </a:solidFill>
                <a:effectLst/>
                <a:latin typeface="+mn-lt"/>
                <a:ea typeface="+mn-ea"/>
                <a:cs typeface="+mn-cs"/>
              </a:rPr>
              <a:t> = </a:t>
            </a:r>
            <a:r>
              <a:rPr lang="en-PH" sz="1100" b="0" i="0">
                <a:solidFill>
                  <a:schemeClr val="dk1"/>
                </a:solidFill>
                <a:effectLst/>
                <a:latin typeface="+mn-lt"/>
                <a:ea typeface="+mn-ea"/>
                <a:cs typeface="+mn-cs"/>
              </a:rPr>
              <a:t>0.226045291776685</a:t>
            </a:r>
            <a:endParaRPr lang="en-PH" sz="110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p>
          <a:p>
            <a:r>
              <a:rPr lang="en-PH" sz="1100" baseline="0">
                <a:effectLst/>
                <a:latin typeface="+mn-lt"/>
                <a:ea typeface="Cambria Math" panose="02040503050406030204" pitchFamily="18" charset="0"/>
              </a:rPr>
              <a:t>Coefficient = -1.16343861255142</a:t>
            </a:r>
          </a:p>
        </xdr:txBody>
      </xdr:sp>
      <mc:AlternateContent xmlns:mc="http://schemas.openxmlformats.org/markup-compatibility/2006" xmlns:a14="http://schemas.microsoft.com/office/drawing/2010/main">
        <mc:Choice Requires="a14">
          <xdr:sp macro="" textlink="">
            <xdr:nvSpPr>
              <xdr:cNvPr id="41" name="TextBox 40">
                <a:extLst>
                  <a:ext uri="{FF2B5EF4-FFF2-40B4-BE49-F238E27FC236}">
                    <a16:creationId xmlns:a16="http://schemas.microsoft.com/office/drawing/2014/main" id="{F906F1C6-2762-4604-81F9-F4FA8E5DEB38}"/>
                  </a:ext>
                </a:extLst>
              </xdr:cNvPr>
              <xdr:cNvSpPr txBox="1"/>
            </xdr:nvSpPr>
            <xdr:spPr>
              <a:xfrm>
                <a:off x="42620740" y="66428894"/>
                <a:ext cx="4974823" cy="12992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m:rPr>
                        <m:nor/>
                      </m:rPr>
                      <a:rPr lang="en-PH" sz="1600" b="0" i="0">
                        <a:solidFill>
                          <a:schemeClr val="dk1"/>
                        </a:solidFill>
                        <a:effectLst/>
                        <a:latin typeface="Cambria Math" panose="02040503050406030204" pitchFamily="18" charset="0"/>
                        <a:ea typeface="Cambria Math" panose="02040503050406030204" pitchFamily="18" charset="0"/>
                        <a:cs typeface="+mn-cs"/>
                      </a:rPr>
                      <m:t>0.226045291776685</m:t>
                    </m:r>
                    <m:r>
                      <a:rPr lang="en-US" sz="1600" b="0" i="1" baseline="0">
                        <a:solidFill>
                          <a:schemeClr val="dk1"/>
                        </a:solidFill>
                        <a:effectLst/>
                        <a:latin typeface="Cambria Math" panose="02040503050406030204" pitchFamily="18" charset="0"/>
                        <a:ea typeface="Cambria Math" panose="02040503050406030204" pitchFamily="18" charset="0"/>
                        <a:cs typeface="+mn-cs"/>
                      </a:rPr>
                      <m:t> &gt;0.05</m:t>
                    </m:r>
                  </m:oMath>
                </a14:m>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the old medicine</a:t>
                </a:r>
                <a:r>
                  <a:rPr lang="en-PH" sz="1200" baseline="0">
                    <a:solidFill>
                      <a:schemeClr val="dk1"/>
                    </a:solidFill>
                    <a:effectLst/>
                    <a:latin typeface="+mn-lt"/>
                    <a:ea typeface="+mn-ea"/>
                    <a:cs typeface="+mn-cs"/>
                  </a:rPr>
                  <a:t> has the same effect or equal effect on post diastolic blood pressure as the placebo.</a:t>
                </a:r>
              </a:p>
              <a:p>
                <a:pPr algn="ctr"/>
                <a:endParaRPr lang="en-PH" sz="1200" baseline="0">
                  <a:solidFill>
                    <a:schemeClr val="dk1"/>
                  </a:solidFill>
                  <a:effectLst/>
                  <a:latin typeface="+mn-lt"/>
                  <a:ea typeface="+mn-ea"/>
                  <a:cs typeface="+mn-cs"/>
                </a:endParaRPr>
              </a:p>
              <a:p>
                <a:pPr algn="ctr"/>
                <a:r>
                  <a:rPr lang="en-PH" sz="1200" baseline="0">
                    <a:solidFill>
                      <a:schemeClr val="dk1"/>
                    </a:solidFill>
                    <a:effectLst/>
                    <a:latin typeface="+mn-lt"/>
                    <a:ea typeface="+mn-ea"/>
                    <a:cs typeface="+mn-cs"/>
                  </a:rPr>
                  <a:t>The predicted 1.16 mmHg lower blood pressure is not statistically significant.</a:t>
                </a:r>
                <a:endParaRPr lang="en-PH" sz="1200">
                  <a:latin typeface="+mn-lt"/>
                  <a:ea typeface="Cambria Math" panose="02040503050406030204" pitchFamily="18" charset="0"/>
                </a:endParaRPr>
              </a:p>
            </xdr:txBody>
          </xdr:sp>
        </mc:Choice>
        <mc:Fallback xmlns="">
          <xdr:sp macro="" textlink="">
            <xdr:nvSpPr>
              <xdr:cNvPr id="41" name="TextBox 40">
                <a:extLst>
                  <a:ext uri="{FF2B5EF4-FFF2-40B4-BE49-F238E27FC236}">
                    <a16:creationId xmlns:a16="http://schemas.microsoft.com/office/drawing/2014/main" id="{F906F1C6-2762-4604-81F9-F4FA8E5DEB38}"/>
                  </a:ext>
                </a:extLst>
              </xdr:cNvPr>
              <xdr:cNvSpPr txBox="1"/>
            </xdr:nvSpPr>
            <xdr:spPr>
              <a:xfrm>
                <a:off x="42620740" y="66428894"/>
                <a:ext cx="4974823" cy="12992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b="0" i="0">
                    <a:solidFill>
                      <a:schemeClr val="dk1"/>
                    </a:solidFill>
                    <a:effectLst/>
                    <a:latin typeface="Cambria Math" panose="02040503050406030204" pitchFamily="18" charset="0"/>
                    <a:ea typeface="Cambria Math" panose="02040503050406030204" pitchFamily="18" charset="0"/>
                    <a:cs typeface="+mn-cs"/>
                  </a:rPr>
                  <a:t>"0.226045291776685</a:t>
                </a:r>
                <a:r>
                  <a:rPr lang="en-US" sz="1600" b="0" i="0" baseline="0">
                    <a:solidFill>
                      <a:schemeClr val="dk1"/>
                    </a:solidFill>
                    <a:effectLst/>
                    <a:latin typeface="Cambria Math" panose="02040503050406030204" pitchFamily="18" charset="0"/>
                    <a:ea typeface="Cambria Math" panose="02040503050406030204" pitchFamily="18" charset="0"/>
                    <a:cs typeface="+mn-cs"/>
                  </a:rPr>
                  <a:t>" &gt;0.05</a:t>
                </a:r>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the old medicine</a:t>
                </a:r>
                <a:r>
                  <a:rPr lang="en-PH" sz="1200" baseline="0">
                    <a:solidFill>
                      <a:schemeClr val="dk1"/>
                    </a:solidFill>
                    <a:effectLst/>
                    <a:latin typeface="+mn-lt"/>
                    <a:ea typeface="+mn-ea"/>
                    <a:cs typeface="+mn-cs"/>
                  </a:rPr>
                  <a:t> has the same effect or equal effect on post diastolic blood pressure as the placebo.</a:t>
                </a:r>
              </a:p>
              <a:p>
                <a:pPr algn="ctr"/>
                <a:endParaRPr lang="en-PH" sz="1200" baseline="0">
                  <a:solidFill>
                    <a:schemeClr val="dk1"/>
                  </a:solidFill>
                  <a:effectLst/>
                  <a:latin typeface="+mn-lt"/>
                  <a:ea typeface="+mn-ea"/>
                  <a:cs typeface="+mn-cs"/>
                </a:endParaRPr>
              </a:p>
              <a:p>
                <a:pPr algn="ctr"/>
                <a:r>
                  <a:rPr lang="en-PH" sz="1200" baseline="0">
                    <a:solidFill>
                      <a:schemeClr val="dk1"/>
                    </a:solidFill>
                    <a:effectLst/>
                    <a:latin typeface="+mn-lt"/>
                    <a:ea typeface="+mn-ea"/>
                    <a:cs typeface="+mn-cs"/>
                  </a:rPr>
                  <a:t>The predicted 1.16 mmHg lower blood pressure is not statistically significant.</a:t>
                </a:r>
                <a:endParaRPr lang="en-PH" sz="1200">
                  <a:latin typeface="+mn-lt"/>
                  <a:ea typeface="Cambria Math" panose="02040503050406030204" pitchFamily="18" charset="0"/>
                </a:endParaRPr>
              </a:p>
            </xdr:txBody>
          </xdr:sp>
        </mc:Fallback>
      </mc:AlternateContent>
    </xdr:grpSp>
    <xdr:clientData/>
  </xdr:twoCellAnchor>
  <xdr:twoCellAnchor>
    <xdr:from>
      <xdr:col>34</xdr:col>
      <xdr:colOff>632176</xdr:colOff>
      <xdr:row>367</xdr:row>
      <xdr:rowOff>122634</xdr:rowOff>
    </xdr:from>
    <xdr:to>
      <xdr:col>36</xdr:col>
      <xdr:colOff>1717505</xdr:colOff>
      <xdr:row>381</xdr:row>
      <xdr:rowOff>89822</xdr:rowOff>
    </xdr:to>
    <xdr:grpSp>
      <xdr:nvGrpSpPr>
        <xdr:cNvPr id="46" name="Group 45">
          <a:extLst>
            <a:ext uri="{FF2B5EF4-FFF2-40B4-BE49-F238E27FC236}">
              <a16:creationId xmlns:a16="http://schemas.microsoft.com/office/drawing/2014/main" id="{A659053C-8740-388F-D3B3-F70E03ABBC48}"/>
            </a:ext>
          </a:extLst>
        </xdr:cNvPr>
        <xdr:cNvGrpSpPr/>
      </xdr:nvGrpSpPr>
      <xdr:grpSpPr>
        <a:xfrm>
          <a:off x="44310016" y="134356554"/>
          <a:ext cx="5047729" cy="5087828"/>
          <a:chOff x="42680512" y="67943458"/>
          <a:chExt cx="5015645" cy="2587398"/>
        </a:xfrm>
      </xdr:grpSpPr>
      <xdr:sp macro="" textlink="">
        <xdr:nvSpPr>
          <xdr:cNvPr id="42" name="TextBox 41">
            <a:extLst>
              <a:ext uri="{FF2B5EF4-FFF2-40B4-BE49-F238E27FC236}">
                <a16:creationId xmlns:a16="http://schemas.microsoft.com/office/drawing/2014/main" id="{7B5D0F0D-B802-4A99-86DE-29E37E41AD75}"/>
              </a:ext>
            </a:extLst>
          </xdr:cNvPr>
          <xdr:cNvSpPr txBox="1"/>
        </xdr:nvSpPr>
        <xdr:spPr>
          <a:xfrm>
            <a:off x="42680512" y="67943458"/>
            <a:ext cx="5015645" cy="860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latin typeface="+mn-lt"/>
                <a:ea typeface="Cambria Math" panose="02040503050406030204" pitchFamily="18" charset="0"/>
              </a:rPr>
              <a:t>None</a:t>
            </a:r>
          </a:p>
          <a:p>
            <a:pPr latinLnBrk="1"/>
            <a:r>
              <a:rPr lang="en-PH" sz="1100" b="0" i="0">
                <a:solidFill>
                  <a:schemeClr val="dk1"/>
                </a:solidFill>
                <a:effectLst/>
                <a:latin typeface="+mn-lt"/>
                <a:ea typeface="+mn-ea"/>
                <a:cs typeface="+mn-cs"/>
              </a:rPr>
              <a:t>P-value</a:t>
            </a:r>
            <a:r>
              <a:rPr lang="en-PH" sz="1100" b="0" i="0" baseline="0">
                <a:solidFill>
                  <a:schemeClr val="dk1"/>
                </a:solidFill>
                <a:effectLst/>
                <a:latin typeface="+mn-lt"/>
                <a:ea typeface="+mn-ea"/>
                <a:cs typeface="+mn-cs"/>
              </a:rPr>
              <a:t> = </a:t>
            </a:r>
            <a:r>
              <a:rPr lang="en-PH" sz="1100" b="0" i="0">
                <a:solidFill>
                  <a:schemeClr val="dk1"/>
                </a:solidFill>
                <a:effectLst/>
                <a:latin typeface="+mn-lt"/>
                <a:ea typeface="+mn-ea"/>
                <a:cs typeface="+mn-cs"/>
              </a:rPr>
              <a:t>0.00556978307171071</a:t>
            </a:r>
            <a:endParaRPr lang="en-PH" sz="110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p>
          <a:p>
            <a:r>
              <a:rPr lang="en-PH" sz="1100" baseline="0">
                <a:effectLst/>
                <a:latin typeface="+mn-lt"/>
                <a:ea typeface="Cambria Math" panose="02040503050406030204" pitchFamily="18" charset="0"/>
              </a:rPr>
              <a:t>Coefficient = </a:t>
            </a:r>
            <a:r>
              <a:rPr lang="en-PH" sz="1100" b="0" i="0" u="none" strike="noStrike">
                <a:solidFill>
                  <a:schemeClr val="dk1"/>
                </a:solidFill>
                <a:effectLst/>
                <a:latin typeface="+mn-lt"/>
                <a:ea typeface="+mn-ea"/>
                <a:cs typeface="+mn-cs"/>
              </a:rPr>
              <a:t>2.21533924514495</a:t>
            </a:r>
            <a:endParaRPr lang="en-PH" sz="1100">
              <a:effectLst/>
              <a:latin typeface="+mn-lt"/>
              <a:ea typeface="Cambria Math" panose="02040503050406030204" pitchFamily="18" charset="0"/>
            </a:endParaRPr>
          </a:p>
        </xdr:txBody>
      </xdr:sp>
      <mc:AlternateContent xmlns:mc="http://schemas.openxmlformats.org/markup-compatibility/2006">
        <mc:Choice xmlns:a14="http://schemas.microsoft.com/office/drawing/2010/main" Requires="a14">
          <xdr:sp macro="" textlink="">
            <xdr:nvSpPr>
              <xdr:cNvPr id="43" name="TextBox 42">
                <a:extLst>
                  <a:ext uri="{FF2B5EF4-FFF2-40B4-BE49-F238E27FC236}">
                    <a16:creationId xmlns:a16="http://schemas.microsoft.com/office/drawing/2014/main" id="{6D7336CA-656B-4301-9EB0-0CAF861001DC}"/>
                  </a:ext>
                </a:extLst>
              </xdr:cNvPr>
              <xdr:cNvSpPr txBox="1"/>
            </xdr:nvSpPr>
            <xdr:spPr>
              <a:xfrm>
                <a:off x="42680512" y="69204234"/>
                <a:ext cx="4974823" cy="1326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m:rPr>
                        <m:nor/>
                      </m:rPr>
                      <a:rPr lang="en-PH" sz="1600" b="0" i="0">
                        <a:solidFill>
                          <a:schemeClr val="dk1"/>
                        </a:solidFill>
                        <a:effectLst/>
                        <a:latin typeface="Cambria Math" panose="02040503050406030204" pitchFamily="18" charset="0"/>
                        <a:ea typeface="Cambria Math" panose="02040503050406030204" pitchFamily="18" charset="0"/>
                        <a:cs typeface="+mn-cs"/>
                      </a:rPr>
                      <m:t>0.00556978307171071</m:t>
                    </m:r>
                    <m:r>
                      <a:rPr lang="en-US" sz="1600" b="0" i="1" baseline="0">
                        <a:solidFill>
                          <a:schemeClr val="dk1"/>
                        </a:solidFill>
                        <a:effectLst/>
                        <a:latin typeface="Cambria Math" panose="02040503050406030204" pitchFamily="18" charset="0"/>
                        <a:ea typeface="Cambria Math" panose="02040503050406030204" pitchFamily="18" charset="0"/>
                        <a:cs typeface="+mn-cs"/>
                      </a:rPr>
                      <m:t> ≤0.05</m:t>
                    </m:r>
                  </m:oMath>
                </a14:m>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no/none treatment</a:t>
                </a:r>
                <a:r>
                  <a:rPr lang="en-PH" sz="1200" baseline="0">
                    <a:solidFill>
                      <a:schemeClr val="dk1"/>
                    </a:solidFill>
                    <a:effectLst/>
                    <a:latin typeface="+mn-lt"/>
                    <a:ea typeface="+mn-ea"/>
                    <a:cs typeface="+mn-cs"/>
                  </a:rPr>
                  <a:t> has a different effect on post diastolic blood pressure than the placebo.</a:t>
                </a:r>
              </a:p>
              <a:p>
                <a:pPr algn="ctr"/>
                <a:endParaRPr lang="en-PH" sz="1200" baseline="0">
                  <a:solidFill>
                    <a:schemeClr val="dk1"/>
                  </a:solidFill>
                  <a:effectLst/>
                  <a:latin typeface="+mn-lt"/>
                  <a:ea typeface="+mn-ea"/>
                  <a:cs typeface="+mn-cs"/>
                </a:endParaRPr>
              </a:p>
              <a:p>
                <a:pPr algn="ctr"/>
                <a:r>
                  <a:rPr lang="en-PH" sz="1200" baseline="0">
                    <a:solidFill>
                      <a:schemeClr val="dk1"/>
                    </a:solidFill>
                    <a:effectLst/>
                    <a:latin typeface="+mn-lt"/>
                    <a:ea typeface="+mn-ea"/>
                    <a:cs typeface="+mn-cs"/>
                  </a:rPr>
                  <a:t>The predicted 2.22 mmHg higher blood pressure is statistically significant.</a:t>
                </a:r>
                <a:endParaRPr lang="en-PH" sz="1200">
                  <a:latin typeface="+mn-lt"/>
                  <a:ea typeface="Cambria Math" panose="02040503050406030204" pitchFamily="18" charset="0"/>
                </a:endParaRPr>
              </a:p>
            </xdr:txBody>
          </xdr:sp>
        </mc:Choice>
        <mc:Fallback>
          <xdr:sp macro="" textlink="">
            <xdr:nvSpPr>
              <xdr:cNvPr id="43" name="TextBox 42">
                <a:extLst>
                  <a:ext uri="{FF2B5EF4-FFF2-40B4-BE49-F238E27FC236}">
                    <a16:creationId xmlns:a16="http://schemas.microsoft.com/office/drawing/2014/main" id="{6D7336CA-656B-4301-9EB0-0CAF861001DC}"/>
                  </a:ext>
                </a:extLst>
              </xdr:cNvPr>
              <xdr:cNvSpPr txBox="1"/>
            </xdr:nvSpPr>
            <xdr:spPr>
              <a:xfrm>
                <a:off x="42680512" y="69204234"/>
                <a:ext cx="4974823" cy="1326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b="0" i="0">
                    <a:solidFill>
                      <a:schemeClr val="dk1"/>
                    </a:solidFill>
                    <a:effectLst/>
                    <a:latin typeface="Cambria Math" panose="02040503050406030204" pitchFamily="18" charset="0"/>
                    <a:ea typeface="Cambria Math" panose="02040503050406030204" pitchFamily="18" charset="0"/>
                    <a:cs typeface="+mn-cs"/>
                  </a:rPr>
                  <a:t>"0.00556978307171071</a:t>
                </a:r>
                <a:r>
                  <a:rPr lang="en-US" sz="1600" b="0" i="0" baseline="0">
                    <a:solidFill>
                      <a:schemeClr val="dk1"/>
                    </a:solidFill>
                    <a:effectLst/>
                    <a:latin typeface="Cambria Math" panose="02040503050406030204" pitchFamily="18" charset="0"/>
                    <a:ea typeface="Cambria Math" panose="02040503050406030204" pitchFamily="18" charset="0"/>
                    <a:cs typeface="+mn-cs"/>
                  </a:rPr>
                  <a:t>" ≤0.05</a:t>
                </a:r>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no/none treatment</a:t>
                </a:r>
                <a:r>
                  <a:rPr lang="en-PH" sz="1200" baseline="0">
                    <a:solidFill>
                      <a:schemeClr val="dk1"/>
                    </a:solidFill>
                    <a:effectLst/>
                    <a:latin typeface="+mn-lt"/>
                    <a:ea typeface="+mn-ea"/>
                    <a:cs typeface="+mn-cs"/>
                  </a:rPr>
                  <a:t> has a different effect on post diastolic blood pressure than the placebo.</a:t>
                </a:r>
              </a:p>
              <a:p>
                <a:pPr algn="ctr"/>
                <a:endParaRPr lang="en-PH" sz="1200" baseline="0">
                  <a:solidFill>
                    <a:schemeClr val="dk1"/>
                  </a:solidFill>
                  <a:effectLst/>
                  <a:latin typeface="+mn-lt"/>
                  <a:ea typeface="+mn-ea"/>
                  <a:cs typeface="+mn-cs"/>
                </a:endParaRPr>
              </a:p>
              <a:p>
                <a:pPr algn="ctr"/>
                <a:r>
                  <a:rPr lang="en-PH" sz="1200" baseline="0">
                    <a:solidFill>
                      <a:schemeClr val="dk1"/>
                    </a:solidFill>
                    <a:effectLst/>
                    <a:latin typeface="+mn-lt"/>
                    <a:ea typeface="+mn-ea"/>
                    <a:cs typeface="+mn-cs"/>
                  </a:rPr>
                  <a:t>The predicted 2.22 mmHg higher blood pressure is statistically significant.</a:t>
                </a:r>
                <a:endParaRPr lang="en-PH" sz="1200">
                  <a:latin typeface="+mn-lt"/>
                  <a:ea typeface="Cambria Math" panose="02040503050406030204" pitchFamily="18" charset="0"/>
                </a:endParaRPr>
              </a:p>
            </xdr:txBody>
          </xdr:sp>
        </mc:Fallback>
      </mc:AlternateContent>
    </xdr:grpSp>
    <xdr:clientData/>
  </xdr:twoCellAnchor>
  <xdr:twoCellAnchor>
    <xdr:from>
      <xdr:col>44</xdr:col>
      <xdr:colOff>0</xdr:colOff>
      <xdr:row>339</xdr:row>
      <xdr:rowOff>12700</xdr:rowOff>
    </xdr:from>
    <xdr:to>
      <xdr:col>46</xdr:col>
      <xdr:colOff>2176271</xdr:colOff>
      <xdr:row>343</xdr:row>
      <xdr:rowOff>121925</xdr:rowOff>
    </xdr:to>
    <xdr:sp macro="" textlink="">
      <xdr:nvSpPr>
        <xdr:cNvPr id="47" name="TextBox 46">
          <a:extLst>
            <a:ext uri="{FF2B5EF4-FFF2-40B4-BE49-F238E27FC236}">
              <a16:creationId xmlns:a16="http://schemas.microsoft.com/office/drawing/2014/main" id="{8388AD0E-6847-4093-BF47-8A39E8CBAC8C}"/>
            </a:ext>
          </a:extLst>
        </xdr:cNvPr>
        <xdr:cNvSpPr txBox="1"/>
      </xdr:nvSpPr>
      <xdr:spPr>
        <a:xfrm>
          <a:off x="59690000" y="60604400"/>
          <a:ext cx="6125971" cy="833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b="1"/>
            <a:t>New Medicine</a:t>
          </a:r>
        </a:p>
        <a:p>
          <a:r>
            <a:rPr lang="en-PH"/>
            <a:t>H0</a:t>
          </a:r>
          <a:r>
            <a:rPr lang="en-PH" sz="1100"/>
            <a:t>: The new medicine</a:t>
          </a:r>
          <a:r>
            <a:rPr lang="en-PH" sz="1100" baseline="0"/>
            <a:t> has the same effect or equal effect on post systolic blood pressure as the placebo.</a:t>
          </a:r>
        </a:p>
        <a:p>
          <a:pPr marL="0" marR="0" lvl="0" indent="0" defTabSz="914400" eaLnBrk="1" fontAlgn="auto" latinLnBrk="0" hangingPunct="1">
            <a:lnSpc>
              <a:spcPct val="100000"/>
            </a:lnSpc>
            <a:spcBef>
              <a:spcPts val="0"/>
            </a:spcBef>
            <a:spcAft>
              <a:spcPts val="0"/>
            </a:spcAft>
            <a:buClrTx/>
            <a:buSzTx/>
            <a:buFontTx/>
            <a:buNone/>
            <a:tabLst/>
            <a:defRPr/>
          </a:pPr>
          <a:r>
            <a:rPr lang="en-PH"/>
            <a:t>H1</a:t>
          </a:r>
          <a:r>
            <a:rPr lang="en-PH" sz="1100" baseline="0"/>
            <a:t>: </a:t>
          </a:r>
          <a:r>
            <a:rPr lang="en-PH" sz="1100">
              <a:solidFill>
                <a:schemeClr val="dk1"/>
              </a:solidFill>
              <a:effectLst/>
              <a:latin typeface="+mn-lt"/>
              <a:ea typeface="+mn-ea"/>
              <a:cs typeface="+mn-cs"/>
            </a:rPr>
            <a:t>The new medicine</a:t>
          </a:r>
          <a:r>
            <a:rPr lang="en-PH" sz="1100" baseline="0">
              <a:solidFill>
                <a:schemeClr val="dk1"/>
              </a:solidFill>
              <a:effectLst/>
              <a:latin typeface="+mn-lt"/>
              <a:ea typeface="+mn-ea"/>
              <a:cs typeface="+mn-cs"/>
            </a:rPr>
            <a:t> has a different effect on post systolic blood pressure than the placebo.</a:t>
          </a:r>
          <a:endParaRPr lang="en-PH">
            <a:effectLst/>
          </a:endParaRPr>
        </a:p>
      </xdr:txBody>
    </xdr:sp>
    <xdr:clientData/>
  </xdr:twoCellAnchor>
  <xdr:twoCellAnchor>
    <xdr:from>
      <xdr:col>47</xdr:col>
      <xdr:colOff>128727</xdr:colOff>
      <xdr:row>343</xdr:row>
      <xdr:rowOff>0</xdr:rowOff>
    </xdr:from>
    <xdr:to>
      <xdr:col>53</xdr:col>
      <xdr:colOff>240390</xdr:colOff>
      <xdr:row>355</xdr:row>
      <xdr:rowOff>109724</xdr:rowOff>
    </xdr:to>
    <xdr:grpSp>
      <xdr:nvGrpSpPr>
        <xdr:cNvPr id="48" name="Group 47">
          <a:extLst>
            <a:ext uri="{FF2B5EF4-FFF2-40B4-BE49-F238E27FC236}">
              <a16:creationId xmlns:a16="http://schemas.microsoft.com/office/drawing/2014/main" id="{4C2D62FF-828D-431B-87AA-D3C38495FE7F}"/>
            </a:ext>
          </a:extLst>
        </xdr:cNvPr>
        <xdr:cNvGrpSpPr/>
      </xdr:nvGrpSpPr>
      <xdr:grpSpPr>
        <a:xfrm>
          <a:off x="63831927" y="125455680"/>
          <a:ext cx="5049423" cy="4498844"/>
          <a:chOff x="42647985" y="62663137"/>
          <a:chExt cx="5015645" cy="2374437"/>
        </a:xfrm>
      </xdr:grpSpPr>
      <xdr:sp macro="" textlink="">
        <xdr:nvSpPr>
          <xdr:cNvPr id="49" name="TextBox 48">
            <a:extLst>
              <a:ext uri="{FF2B5EF4-FFF2-40B4-BE49-F238E27FC236}">
                <a16:creationId xmlns:a16="http://schemas.microsoft.com/office/drawing/2014/main" id="{3FA9FEA7-A3C3-619F-52BD-5F89ADD9E3C8}"/>
              </a:ext>
            </a:extLst>
          </xdr:cNvPr>
          <xdr:cNvSpPr txBox="1"/>
        </xdr:nvSpPr>
        <xdr:spPr>
          <a:xfrm>
            <a:off x="42647985" y="62663137"/>
            <a:ext cx="5015645" cy="9087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latin typeface="+mn-lt"/>
                <a:ea typeface="Cambria Math" panose="02040503050406030204" pitchFamily="18" charset="0"/>
              </a:rPr>
              <a:t>New Medicine</a:t>
            </a:r>
          </a:p>
          <a:p>
            <a:pPr latinLnBrk="1"/>
            <a:r>
              <a:rPr lang="en-PH" sz="1100" b="0" i="0">
                <a:solidFill>
                  <a:schemeClr val="dk1"/>
                </a:solidFill>
                <a:effectLst/>
                <a:latin typeface="+mn-lt"/>
                <a:ea typeface="+mn-ea"/>
                <a:cs typeface="+mn-cs"/>
              </a:rPr>
              <a:t>P-value</a:t>
            </a:r>
            <a:r>
              <a:rPr lang="en-PH" sz="1100" b="0" i="0" baseline="0">
                <a:solidFill>
                  <a:schemeClr val="dk1"/>
                </a:solidFill>
                <a:effectLst/>
                <a:latin typeface="+mn-lt"/>
                <a:ea typeface="+mn-ea"/>
                <a:cs typeface="+mn-cs"/>
              </a:rPr>
              <a:t> = </a:t>
            </a:r>
            <a:r>
              <a:rPr lang="en-PH" sz="1100" b="0" i="0">
                <a:solidFill>
                  <a:schemeClr val="dk1"/>
                </a:solidFill>
                <a:effectLst/>
                <a:latin typeface="+mn-lt"/>
                <a:ea typeface="+mn-ea"/>
                <a:cs typeface="+mn-cs"/>
              </a:rPr>
              <a:t>0.69939199521329</a:t>
            </a:r>
            <a:endParaRPr lang="en-PH" sz="110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p>
          <a:p>
            <a:r>
              <a:rPr lang="en-PH" sz="1100" baseline="0">
                <a:effectLst/>
                <a:latin typeface="+mn-lt"/>
                <a:ea typeface="Cambria Math" panose="02040503050406030204" pitchFamily="18" charset="0"/>
              </a:rPr>
              <a:t>Coefficient = -0.557746062965703</a:t>
            </a:r>
            <a:endParaRPr lang="en-PH" sz="1100">
              <a:effectLst/>
              <a:latin typeface="+mn-lt"/>
              <a:ea typeface="Cambria Math" panose="02040503050406030204" pitchFamily="18" charset="0"/>
            </a:endParaRPr>
          </a:p>
        </xdr:txBody>
      </xdr:sp>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9DD07844-0AA8-D110-B42C-AFB6D8F59DE0}"/>
                  </a:ext>
                </a:extLst>
              </xdr:cNvPr>
              <xdr:cNvSpPr txBox="1"/>
            </xdr:nvSpPr>
            <xdr:spPr>
              <a:xfrm>
                <a:off x="42647985" y="63672796"/>
                <a:ext cx="4974823" cy="1364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m:rPr>
                        <m:nor/>
                      </m:rPr>
                      <a:rPr lang="en-PH" sz="1600" b="0" i="0">
                        <a:solidFill>
                          <a:schemeClr val="dk1"/>
                        </a:solidFill>
                        <a:effectLst/>
                        <a:latin typeface="Cambria Math" panose="02040503050406030204" pitchFamily="18" charset="0"/>
                        <a:ea typeface="Cambria Math" panose="02040503050406030204" pitchFamily="18" charset="0"/>
                        <a:cs typeface="+mn-cs"/>
                      </a:rPr>
                      <m:t>0.69939199521329</m:t>
                    </m:r>
                    <m:r>
                      <a:rPr lang="en-US" sz="1600" b="0" i="1" baseline="0">
                        <a:solidFill>
                          <a:schemeClr val="dk1"/>
                        </a:solidFill>
                        <a:effectLst/>
                        <a:latin typeface="Cambria Math" panose="02040503050406030204" pitchFamily="18" charset="0"/>
                        <a:ea typeface="Cambria Math" panose="02040503050406030204" pitchFamily="18" charset="0"/>
                        <a:cs typeface="+mn-cs"/>
                      </a:rPr>
                      <m:t> &gt;0.05</m:t>
                    </m:r>
                  </m:oMath>
                </a14:m>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the new medicine</a:t>
                </a:r>
                <a:r>
                  <a:rPr lang="en-PH" sz="1200" baseline="0">
                    <a:solidFill>
                      <a:schemeClr val="dk1"/>
                    </a:solidFill>
                    <a:effectLst/>
                    <a:latin typeface="+mn-lt"/>
                    <a:ea typeface="+mn-ea"/>
                    <a:cs typeface="+mn-cs"/>
                  </a:rPr>
                  <a:t> has the same effect or equal effect on post systolic blood pressure as the placebo.</a:t>
                </a:r>
              </a:p>
              <a:p>
                <a:pPr algn="ctr"/>
                <a:endParaRPr lang="en-PH" sz="1200" baseline="0">
                  <a:solidFill>
                    <a:schemeClr val="dk1"/>
                  </a:solidFill>
                  <a:effectLst/>
                  <a:latin typeface="+mn-lt"/>
                  <a:ea typeface="+mn-ea"/>
                  <a:cs typeface="+mn-cs"/>
                </a:endParaRPr>
              </a:p>
              <a:p>
                <a:pPr algn="ctr"/>
                <a:r>
                  <a:rPr lang="en-PH" sz="1200" b="0"/>
                  <a:t>The predicted </a:t>
                </a:r>
                <a:r>
                  <a:rPr lang="en-PH" sz="1200" b="0">
                    <a:solidFill>
                      <a:schemeClr val="dk1"/>
                    </a:solidFill>
                    <a:effectLst/>
                    <a:latin typeface="+mn-lt"/>
                    <a:ea typeface="+mn-ea"/>
                    <a:cs typeface="+mn-cs"/>
                  </a:rPr>
                  <a:t>0.56</a:t>
                </a:r>
                <a:r>
                  <a:rPr lang="en-PH" sz="1200" b="0"/>
                  <a:t> mmHg lower blood pressure is </a:t>
                </a:r>
                <a:r>
                  <a:rPr lang="en-PH" sz="1200" b="0">
                    <a:solidFill>
                      <a:schemeClr val="dk1"/>
                    </a:solidFill>
                    <a:effectLst/>
                    <a:latin typeface="+mn-lt"/>
                    <a:ea typeface="+mn-ea"/>
                    <a:cs typeface="+mn-cs"/>
                  </a:rPr>
                  <a:t>not statistically significant</a:t>
                </a:r>
                <a:r>
                  <a:rPr lang="en-PH" sz="1200" b="0"/>
                  <a:t>.</a:t>
                </a:r>
                <a:endParaRPr lang="en-PH" sz="1200" b="0">
                  <a:latin typeface="+mn-lt"/>
                  <a:ea typeface="Cambria Math" panose="02040503050406030204" pitchFamily="18" charset="0"/>
                </a:endParaRPr>
              </a:p>
            </xdr:txBody>
          </xdr:sp>
        </mc:Choice>
        <mc:Fallback xmlns="">
          <xdr:sp macro="" textlink="">
            <xdr:nvSpPr>
              <xdr:cNvPr id="50" name="TextBox 49">
                <a:extLst>
                  <a:ext uri="{FF2B5EF4-FFF2-40B4-BE49-F238E27FC236}">
                    <a16:creationId xmlns:a16="http://schemas.microsoft.com/office/drawing/2014/main" id="{9DD07844-0AA8-D110-B42C-AFB6D8F59DE0}"/>
                  </a:ext>
                </a:extLst>
              </xdr:cNvPr>
              <xdr:cNvSpPr txBox="1"/>
            </xdr:nvSpPr>
            <xdr:spPr>
              <a:xfrm>
                <a:off x="42647985" y="63672796"/>
                <a:ext cx="4974823" cy="1364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b="0" i="0">
                    <a:solidFill>
                      <a:schemeClr val="dk1"/>
                    </a:solidFill>
                    <a:effectLst/>
                    <a:latin typeface="Cambria Math" panose="02040503050406030204" pitchFamily="18" charset="0"/>
                    <a:ea typeface="Cambria Math" panose="02040503050406030204" pitchFamily="18" charset="0"/>
                    <a:cs typeface="+mn-cs"/>
                  </a:rPr>
                  <a:t>"0.69939199521329</a:t>
                </a:r>
                <a:r>
                  <a:rPr lang="en-US" sz="1600" b="0" i="0" baseline="0">
                    <a:solidFill>
                      <a:schemeClr val="dk1"/>
                    </a:solidFill>
                    <a:effectLst/>
                    <a:latin typeface="Cambria Math" panose="02040503050406030204" pitchFamily="18" charset="0"/>
                    <a:ea typeface="Cambria Math" panose="02040503050406030204" pitchFamily="18" charset="0"/>
                    <a:cs typeface="+mn-cs"/>
                  </a:rPr>
                  <a:t>" &gt;0.05</a:t>
                </a:r>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the new medicine</a:t>
                </a:r>
                <a:r>
                  <a:rPr lang="en-PH" sz="1200" baseline="0">
                    <a:solidFill>
                      <a:schemeClr val="dk1"/>
                    </a:solidFill>
                    <a:effectLst/>
                    <a:latin typeface="+mn-lt"/>
                    <a:ea typeface="+mn-ea"/>
                    <a:cs typeface="+mn-cs"/>
                  </a:rPr>
                  <a:t> has the same effect or equal effect on post systolic blood pressure as the placebo.</a:t>
                </a:r>
              </a:p>
              <a:p>
                <a:pPr algn="ctr"/>
                <a:endParaRPr lang="en-PH" sz="1200" baseline="0">
                  <a:solidFill>
                    <a:schemeClr val="dk1"/>
                  </a:solidFill>
                  <a:effectLst/>
                  <a:latin typeface="+mn-lt"/>
                  <a:ea typeface="+mn-ea"/>
                  <a:cs typeface="+mn-cs"/>
                </a:endParaRPr>
              </a:p>
              <a:p>
                <a:pPr algn="ctr"/>
                <a:r>
                  <a:rPr lang="en-PH" sz="1200" b="0"/>
                  <a:t>The predicted </a:t>
                </a:r>
                <a:r>
                  <a:rPr lang="en-PH" sz="1200" b="0">
                    <a:solidFill>
                      <a:schemeClr val="dk1"/>
                    </a:solidFill>
                    <a:effectLst/>
                    <a:latin typeface="+mn-lt"/>
                    <a:ea typeface="+mn-ea"/>
                    <a:cs typeface="+mn-cs"/>
                  </a:rPr>
                  <a:t>0.56</a:t>
                </a:r>
                <a:r>
                  <a:rPr lang="en-PH" sz="1200" b="0"/>
                  <a:t> mmHg lower blood pressure is </a:t>
                </a:r>
                <a:r>
                  <a:rPr lang="en-PH" sz="1200" b="0">
                    <a:solidFill>
                      <a:schemeClr val="dk1"/>
                    </a:solidFill>
                    <a:effectLst/>
                    <a:latin typeface="+mn-lt"/>
                    <a:ea typeface="+mn-ea"/>
                    <a:cs typeface="+mn-cs"/>
                  </a:rPr>
                  <a:t>not statistically significant</a:t>
                </a:r>
                <a:r>
                  <a:rPr lang="en-PH" sz="1200" b="0"/>
                  <a:t>.</a:t>
                </a:r>
                <a:endParaRPr lang="en-PH" sz="1200" b="0">
                  <a:latin typeface="+mn-lt"/>
                  <a:ea typeface="Cambria Math" panose="02040503050406030204" pitchFamily="18" charset="0"/>
                </a:endParaRPr>
              </a:p>
            </xdr:txBody>
          </xdr:sp>
        </mc:Fallback>
      </mc:AlternateContent>
    </xdr:grpSp>
    <xdr:clientData/>
  </xdr:twoCellAnchor>
  <xdr:twoCellAnchor>
    <xdr:from>
      <xdr:col>44</xdr:col>
      <xdr:colOff>1728</xdr:colOff>
      <xdr:row>337</xdr:row>
      <xdr:rowOff>12700</xdr:rowOff>
    </xdr:from>
    <xdr:to>
      <xdr:col>45</xdr:col>
      <xdr:colOff>276695</xdr:colOff>
      <xdr:row>338</xdr:row>
      <xdr:rowOff>73175</xdr:rowOff>
    </xdr:to>
    <xdr:sp macro="" textlink="">
      <xdr:nvSpPr>
        <xdr:cNvPr id="51" name="TextBox 50">
          <a:extLst>
            <a:ext uri="{FF2B5EF4-FFF2-40B4-BE49-F238E27FC236}">
              <a16:creationId xmlns:a16="http://schemas.microsoft.com/office/drawing/2014/main" id="{E3DE6E72-83E2-4CAF-A77A-4E9C5588B59A}"/>
            </a:ext>
          </a:extLst>
        </xdr:cNvPr>
        <xdr:cNvSpPr txBox="1"/>
      </xdr:nvSpPr>
      <xdr:spPr>
        <a:xfrm>
          <a:off x="59691728" y="60248800"/>
          <a:ext cx="2611767" cy="238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400" b="1"/>
            <a:t>Baseline</a:t>
          </a:r>
          <a:r>
            <a:rPr lang="en-PH" sz="1400" b="1" baseline="0"/>
            <a:t> Treatment: Placebo</a:t>
          </a:r>
          <a:endParaRPr lang="en-PH" sz="1400" b="1"/>
        </a:p>
      </xdr:txBody>
    </xdr:sp>
    <xdr:clientData/>
  </xdr:twoCellAnchor>
  <xdr:twoCellAnchor>
    <xdr:from>
      <xdr:col>44</xdr:col>
      <xdr:colOff>0</xdr:colOff>
      <xdr:row>344</xdr:row>
      <xdr:rowOff>14494</xdr:rowOff>
    </xdr:from>
    <xdr:to>
      <xdr:col>46</xdr:col>
      <xdr:colOff>2099581</xdr:colOff>
      <xdr:row>347</xdr:row>
      <xdr:rowOff>126643</xdr:rowOff>
    </xdr:to>
    <xdr:sp macro="" textlink="">
      <xdr:nvSpPr>
        <xdr:cNvPr id="52" name="TextBox 51">
          <a:extLst>
            <a:ext uri="{FF2B5EF4-FFF2-40B4-BE49-F238E27FC236}">
              <a16:creationId xmlns:a16="http://schemas.microsoft.com/office/drawing/2014/main" id="{A889A8B1-E42A-4730-9FFB-EAE0B026B589}"/>
            </a:ext>
          </a:extLst>
        </xdr:cNvPr>
        <xdr:cNvSpPr txBox="1"/>
      </xdr:nvSpPr>
      <xdr:spPr>
        <a:xfrm>
          <a:off x="59690000" y="61507894"/>
          <a:ext cx="6049281" cy="6582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b="1"/>
            <a:t>Old Medicine</a:t>
          </a:r>
        </a:p>
        <a:p>
          <a:r>
            <a:rPr lang="en-PH"/>
            <a:t>H0</a:t>
          </a:r>
          <a:r>
            <a:rPr lang="en-PH" sz="1100"/>
            <a:t>: The old medicine</a:t>
          </a:r>
          <a:r>
            <a:rPr lang="en-PH" sz="1100" baseline="0"/>
            <a:t> has the same effect or equal effect on </a:t>
          </a:r>
          <a:r>
            <a:rPr lang="en-PH" sz="1100" baseline="0">
              <a:solidFill>
                <a:schemeClr val="dk1"/>
              </a:solidFill>
              <a:effectLst/>
              <a:latin typeface="+mn-lt"/>
              <a:ea typeface="+mn-ea"/>
              <a:cs typeface="+mn-cs"/>
            </a:rPr>
            <a:t>post systolic</a:t>
          </a:r>
          <a:r>
            <a:rPr lang="en-PH" sz="1100" baseline="0"/>
            <a:t> blood pressure as the placebo.</a:t>
          </a:r>
        </a:p>
        <a:p>
          <a:pPr marL="0" marR="0" lvl="0" indent="0" defTabSz="914400" eaLnBrk="1" fontAlgn="auto" latinLnBrk="0" hangingPunct="1">
            <a:lnSpc>
              <a:spcPct val="100000"/>
            </a:lnSpc>
            <a:spcBef>
              <a:spcPts val="0"/>
            </a:spcBef>
            <a:spcAft>
              <a:spcPts val="0"/>
            </a:spcAft>
            <a:buClrTx/>
            <a:buSzTx/>
            <a:buFontTx/>
            <a:buNone/>
            <a:tabLst/>
            <a:defRPr/>
          </a:pPr>
          <a:r>
            <a:rPr lang="en-PH"/>
            <a:t>H1</a:t>
          </a:r>
          <a:r>
            <a:rPr lang="en-PH" sz="1100" baseline="0"/>
            <a:t>: </a:t>
          </a:r>
          <a:r>
            <a:rPr lang="en-PH" sz="1100">
              <a:solidFill>
                <a:schemeClr val="dk1"/>
              </a:solidFill>
              <a:effectLst/>
              <a:latin typeface="+mn-lt"/>
              <a:ea typeface="+mn-ea"/>
              <a:cs typeface="+mn-cs"/>
            </a:rPr>
            <a:t>The old medicine</a:t>
          </a:r>
          <a:r>
            <a:rPr lang="en-PH" sz="1100" baseline="0">
              <a:solidFill>
                <a:schemeClr val="dk1"/>
              </a:solidFill>
              <a:effectLst/>
              <a:latin typeface="+mn-lt"/>
              <a:ea typeface="+mn-ea"/>
              <a:cs typeface="+mn-cs"/>
            </a:rPr>
            <a:t> has a different effect on post systolic blood pressure than the placebo.</a:t>
          </a:r>
          <a:endParaRPr lang="en-PH">
            <a:effectLst/>
          </a:endParaRPr>
        </a:p>
      </xdr:txBody>
    </xdr:sp>
    <xdr:clientData/>
  </xdr:twoCellAnchor>
  <xdr:twoCellAnchor>
    <xdr:from>
      <xdr:col>44</xdr:col>
      <xdr:colOff>0</xdr:colOff>
      <xdr:row>348</xdr:row>
      <xdr:rowOff>17799</xdr:rowOff>
    </xdr:from>
    <xdr:to>
      <xdr:col>46</xdr:col>
      <xdr:colOff>1911315</xdr:colOff>
      <xdr:row>351</xdr:row>
      <xdr:rowOff>137528</xdr:rowOff>
    </xdr:to>
    <xdr:sp macro="" textlink="">
      <xdr:nvSpPr>
        <xdr:cNvPr id="53" name="TextBox 52">
          <a:extLst>
            <a:ext uri="{FF2B5EF4-FFF2-40B4-BE49-F238E27FC236}">
              <a16:creationId xmlns:a16="http://schemas.microsoft.com/office/drawing/2014/main" id="{817258B7-21EA-43E1-9F0B-DD9C5CF2E8B3}"/>
            </a:ext>
          </a:extLst>
        </xdr:cNvPr>
        <xdr:cNvSpPr txBox="1"/>
      </xdr:nvSpPr>
      <xdr:spPr>
        <a:xfrm>
          <a:off x="59690000" y="62235099"/>
          <a:ext cx="5861015" cy="6531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b="1"/>
            <a:t>None</a:t>
          </a:r>
        </a:p>
        <a:p>
          <a:r>
            <a:rPr lang="en-PH"/>
            <a:t>H0</a:t>
          </a:r>
          <a:r>
            <a:rPr lang="en-PH" sz="1100"/>
            <a:t>: No treatment</a:t>
          </a:r>
          <a:r>
            <a:rPr lang="en-PH" sz="1100" baseline="0"/>
            <a:t> has the same effect or equal effect on </a:t>
          </a:r>
          <a:r>
            <a:rPr lang="en-PH" sz="1100" baseline="0">
              <a:solidFill>
                <a:schemeClr val="dk1"/>
              </a:solidFill>
              <a:effectLst/>
              <a:latin typeface="+mn-lt"/>
              <a:ea typeface="+mn-ea"/>
              <a:cs typeface="+mn-cs"/>
            </a:rPr>
            <a:t>post systolic</a:t>
          </a:r>
          <a:r>
            <a:rPr lang="en-PH" sz="1100" baseline="0"/>
            <a:t> blood pressure as the placebo.</a:t>
          </a:r>
        </a:p>
        <a:p>
          <a:pPr marL="0" marR="0" lvl="0" indent="0" defTabSz="914400" eaLnBrk="1" fontAlgn="auto" latinLnBrk="0" hangingPunct="1">
            <a:lnSpc>
              <a:spcPct val="100000"/>
            </a:lnSpc>
            <a:spcBef>
              <a:spcPts val="0"/>
            </a:spcBef>
            <a:spcAft>
              <a:spcPts val="0"/>
            </a:spcAft>
            <a:buClrTx/>
            <a:buSzTx/>
            <a:buFontTx/>
            <a:buNone/>
            <a:tabLst/>
            <a:defRPr/>
          </a:pPr>
          <a:r>
            <a:rPr lang="en-PH"/>
            <a:t>H1</a:t>
          </a:r>
          <a:r>
            <a:rPr lang="en-PH" sz="1100" baseline="0"/>
            <a:t>: </a:t>
          </a:r>
          <a:r>
            <a:rPr lang="en-PH" sz="1100">
              <a:solidFill>
                <a:schemeClr val="dk1"/>
              </a:solidFill>
              <a:effectLst/>
              <a:latin typeface="+mn-lt"/>
              <a:ea typeface="+mn-ea"/>
              <a:cs typeface="+mn-cs"/>
            </a:rPr>
            <a:t>No treatment</a:t>
          </a:r>
          <a:r>
            <a:rPr lang="en-PH" sz="1100" baseline="0">
              <a:solidFill>
                <a:schemeClr val="dk1"/>
              </a:solidFill>
              <a:effectLst/>
              <a:latin typeface="+mn-lt"/>
              <a:ea typeface="+mn-ea"/>
              <a:cs typeface="+mn-cs"/>
            </a:rPr>
            <a:t> has a different effect on post systolic blood pressure than the placebo.</a:t>
          </a:r>
          <a:endParaRPr lang="en-PH">
            <a:effectLst/>
          </a:endParaRPr>
        </a:p>
      </xdr:txBody>
    </xdr:sp>
    <xdr:clientData/>
  </xdr:twoCellAnchor>
  <xdr:twoCellAnchor>
    <xdr:from>
      <xdr:col>47</xdr:col>
      <xdr:colOff>128727</xdr:colOff>
      <xdr:row>358</xdr:row>
      <xdr:rowOff>187213</xdr:rowOff>
    </xdr:from>
    <xdr:to>
      <xdr:col>53</xdr:col>
      <xdr:colOff>240390</xdr:colOff>
      <xdr:row>371</xdr:row>
      <xdr:rowOff>158476</xdr:rowOff>
    </xdr:to>
    <xdr:grpSp>
      <xdr:nvGrpSpPr>
        <xdr:cNvPr id="54" name="Group 53">
          <a:extLst>
            <a:ext uri="{FF2B5EF4-FFF2-40B4-BE49-F238E27FC236}">
              <a16:creationId xmlns:a16="http://schemas.microsoft.com/office/drawing/2014/main" id="{75D54F1A-F9A7-4BA7-B9EB-041F4FA6DF68}"/>
            </a:ext>
          </a:extLst>
        </xdr:cNvPr>
        <xdr:cNvGrpSpPr/>
      </xdr:nvGrpSpPr>
      <xdr:grpSpPr>
        <a:xfrm>
          <a:off x="63831927" y="131129293"/>
          <a:ext cx="5049423" cy="4726143"/>
          <a:chOff x="42609018" y="65345536"/>
          <a:chExt cx="5015645" cy="2382586"/>
        </a:xfrm>
      </xdr:grpSpPr>
      <xdr:sp macro="" textlink="">
        <xdr:nvSpPr>
          <xdr:cNvPr id="55" name="TextBox 54">
            <a:extLst>
              <a:ext uri="{FF2B5EF4-FFF2-40B4-BE49-F238E27FC236}">
                <a16:creationId xmlns:a16="http://schemas.microsoft.com/office/drawing/2014/main" id="{1420F503-86E4-2058-67CE-C5DB37B9DC07}"/>
              </a:ext>
            </a:extLst>
          </xdr:cNvPr>
          <xdr:cNvSpPr txBox="1"/>
        </xdr:nvSpPr>
        <xdr:spPr>
          <a:xfrm>
            <a:off x="42609018" y="65345536"/>
            <a:ext cx="5015645" cy="990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latin typeface="+mn-lt"/>
                <a:ea typeface="Cambria Math" panose="02040503050406030204" pitchFamily="18" charset="0"/>
              </a:rPr>
              <a:t>Old Medicine</a:t>
            </a:r>
          </a:p>
          <a:p>
            <a:pPr latinLnBrk="1"/>
            <a:r>
              <a:rPr lang="en-PH" sz="1100" b="0" i="0">
                <a:solidFill>
                  <a:schemeClr val="dk1"/>
                </a:solidFill>
                <a:effectLst/>
                <a:latin typeface="+mn-lt"/>
                <a:ea typeface="+mn-ea"/>
                <a:cs typeface="+mn-cs"/>
              </a:rPr>
              <a:t>P-value</a:t>
            </a:r>
            <a:r>
              <a:rPr lang="en-PH" sz="1100" b="0" i="0" baseline="0">
                <a:solidFill>
                  <a:schemeClr val="dk1"/>
                </a:solidFill>
                <a:effectLst/>
                <a:latin typeface="+mn-lt"/>
                <a:ea typeface="+mn-ea"/>
                <a:cs typeface="+mn-cs"/>
              </a:rPr>
              <a:t> = </a:t>
            </a:r>
            <a:r>
              <a:rPr lang="en-PH" sz="1100" b="0" i="0">
                <a:solidFill>
                  <a:schemeClr val="dk1"/>
                </a:solidFill>
                <a:effectLst/>
                <a:latin typeface="+mn-lt"/>
                <a:ea typeface="+mn-ea"/>
                <a:cs typeface="+mn-cs"/>
              </a:rPr>
              <a:t>0.970600713343952</a:t>
            </a:r>
            <a:endParaRPr lang="en-PH" sz="110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p>
          <a:p>
            <a:r>
              <a:rPr lang="en-PH" sz="1100" baseline="0">
                <a:effectLst/>
                <a:latin typeface="+mn-lt"/>
                <a:ea typeface="Cambria Math" panose="02040503050406030204" pitchFamily="18" charset="0"/>
              </a:rPr>
              <a:t>Coefficient = </a:t>
            </a:r>
            <a:r>
              <a:rPr lang="en-PH" sz="1100" b="0" i="0" u="none" strike="noStrike">
                <a:solidFill>
                  <a:schemeClr val="dk1"/>
                </a:solidFill>
                <a:effectLst/>
                <a:latin typeface="+mn-lt"/>
                <a:ea typeface="+mn-ea"/>
                <a:cs typeface="+mn-cs"/>
              </a:rPr>
              <a:t>0.053161752</a:t>
            </a:r>
            <a:r>
              <a:rPr lang="en-PH">
                <a:effectLst/>
              </a:rPr>
              <a:t> </a:t>
            </a:r>
            <a:endParaRPr lang="en-PH" sz="1100" baseline="0">
              <a:effectLst/>
              <a:latin typeface="+mn-lt"/>
              <a:ea typeface="Cambria Math" panose="02040503050406030204" pitchFamily="18" charset="0"/>
            </a:endParaRPr>
          </a:p>
        </xdr:txBody>
      </xdr:sp>
      <mc:AlternateContent xmlns:mc="http://schemas.openxmlformats.org/markup-compatibility/2006" xmlns:a14="http://schemas.microsoft.com/office/drawing/2010/main">
        <mc:Choice Requires="a14">
          <xdr:sp macro="" textlink="">
            <xdr:nvSpPr>
              <xdr:cNvPr id="56" name="TextBox 55">
                <a:extLst>
                  <a:ext uri="{FF2B5EF4-FFF2-40B4-BE49-F238E27FC236}">
                    <a16:creationId xmlns:a16="http://schemas.microsoft.com/office/drawing/2014/main" id="{4936E8F0-6D03-145C-568E-503F1C0D53F1}"/>
                  </a:ext>
                </a:extLst>
              </xdr:cNvPr>
              <xdr:cNvSpPr txBox="1"/>
            </xdr:nvSpPr>
            <xdr:spPr>
              <a:xfrm>
                <a:off x="42620740" y="66428894"/>
                <a:ext cx="4974823" cy="12992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m:rPr>
                        <m:nor/>
                      </m:rPr>
                      <a:rPr lang="en-PH" sz="1600" b="0" i="0">
                        <a:solidFill>
                          <a:schemeClr val="dk1"/>
                        </a:solidFill>
                        <a:effectLst/>
                        <a:latin typeface="Cambria Math" panose="02040503050406030204" pitchFamily="18" charset="0"/>
                        <a:ea typeface="Cambria Math" panose="02040503050406030204" pitchFamily="18" charset="0"/>
                        <a:cs typeface="+mn-cs"/>
                      </a:rPr>
                      <m:t>0.970600713343952</m:t>
                    </m:r>
                    <m:r>
                      <a:rPr lang="en-US" sz="1600" b="0" i="1" baseline="0">
                        <a:solidFill>
                          <a:schemeClr val="dk1"/>
                        </a:solidFill>
                        <a:effectLst/>
                        <a:latin typeface="Cambria Math" panose="02040503050406030204" pitchFamily="18" charset="0"/>
                        <a:ea typeface="Cambria Math" panose="02040503050406030204" pitchFamily="18" charset="0"/>
                        <a:cs typeface="+mn-cs"/>
                      </a:rPr>
                      <m:t> &gt;0.05</m:t>
                    </m:r>
                  </m:oMath>
                </a14:m>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the old medicine</a:t>
                </a:r>
                <a:r>
                  <a:rPr lang="en-PH" sz="1200" baseline="0">
                    <a:solidFill>
                      <a:schemeClr val="dk1"/>
                    </a:solidFill>
                    <a:effectLst/>
                    <a:latin typeface="+mn-lt"/>
                    <a:ea typeface="+mn-ea"/>
                    <a:cs typeface="+mn-cs"/>
                  </a:rPr>
                  <a:t> has the same effect or equal effect on post systolic blood pressure as the placebo.</a:t>
                </a:r>
              </a:p>
              <a:p>
                <a:pPr algn="ctr"/>
                <a:endParaRPr lang="en-PH" sz="1200" baseline="0">
                  <a:solidFill>
                    <a:schemeClr val="dk1"/>
                  </a:solidFill>
                  <a:effectLst/>
                  <a:latin typeface="+mn-lt"/>
                  <a:ea typeface="+mn-ea"/>
                  <a:cs typeface="+mn-cs"/>
                </a:endParaRPr>
              </a:p>
              <a:p>
                <a:pPr algn="ctr"/>
                <a:r>
                  <a:rPr lang="en-PH" sz="1200" baseline="0">
                    <a:solidFill>
                      <a:schemeClr val="dk1"/>
                    </a:solidFill>
                    <a:effectLst/>
                    <a:latin typeface="+mn-lt"/>
                    <a:ea typeface="+mn-ea"/>
                    <a:cs typeface="+mn-cs"/>
                  </a:rPr>
                  <a:t>The predicted 0.05 mmHg higher blood pressure is not statistically significant.</a:t>
                </a:r>
                <a:endParaRPr lang="en-PH" sz="1200">
                  <a:latin typeface="+mn-lt"/>
                  <a:ea typeface="Cambria Math" panose="02040503050406030204" pitchFamily="18" charset="0"/>
                </a:endParaRPr>
              </a:p>
            </xdr:txBody>
          </xdr:sp>
        </mc:Choice>
        <mc:Fallback xmlns="">
          <xdr:sp macro="" textlink="">
            <xdr:nvSpPr>
              <xdr:cNvPr id="56" name="TextBox 55">
                <a:extLst>
                  <a:ext uri="{FF2B5EF4-FFF2-40B4-BE49-F238E27FC236}">
                    <a16:creationId xmlns:a16="http://schemas.microsoft.com/office/drawing/2014/main" id="{4936E8F0-6D03-145C-568E-503F1C0D53F1}"/>
                  </a:ext>
                </a:extLst>
              </xdr:cNvPr>
              <xdr:cNvSpPr txBox="1"/>
            </xdr:nvSpPr>
            <xdr:spPr>
              <a:xfrm>
                <a:off x="42620740" y="66428894"/>
                <a:ext cx="4974823" cy="12992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b="0" i="0">
                    <a:solidFill>
                      <a:schemeClr val="dk1"/>
                    </a:solidFill>
                    <a:effectLst/>
                    <a:latin typeface="Cambria Math" panose="02040503050406030204" pitchFamily="18" charset="0"/>
                    <a:ea typeface="Cambria Math" panose="02040503050406030204" pitchFamily="18" charset="0"/>
                    <a:cs typeface="+mn-cs"/>
                  </a:rPr>
                  <a:t>"0.970600713343952</a:t>
                </a:r>
                <a:r>
                  <a:rPr lang="en-US" sz="1600" b="0" i="0" baseline="0">
                    <a:solidFill>
                      <a:schemeClr val="dk1"/>
                    </a:solidFill>
                    <a:effectLst/>
                    <a:latin typeface="Cambria Math" panose="02040503050406030204" pitchFamily="18" charset="0"/>
                    <a:ea typeface="Cambria Math" panose="02040503050406030204" pitchFamily="18" charset="0"/>
                    <a:cs typeface="+mn-cs"/>
                  </a:rPr>
                  <a:t>" &gt;0.05</a:t>
                </a:r>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the old medicine</a:t>
                </a:r>
                <a:r>
                  <a:rPr lang="en-PH" sz="1200" baseline="0">
                    <a:solidFill>
                      <a:schemeClr val="dk1"/>
                    </a:solidFill>
                    <a:effectLst/>
                    <a:latin typeface="+mn-lt"/>
                    <a:ea typeface="+mn-ea"/>
                    <a:cs typeface="+mn-cs"/>
                  </a:rPr>
                  <a:t> has the same effect or equal effect on post systolic blood pressure as the placebo.</a:t>
                </a:r>
              </a:p>
              <a:p>
                <a:pPr algn="ctr"/>
                <a:endParaRPr lang="en-PH" sz="1200" baseline="0">
                  <a:solidFill>
                    <a:schemeClr val="dk1"/>
                  </a:solidFill>
                  <a:effectLst/>
                  <a:latin typeface="+mn-lt"/>
                  <a:ea typeface="+mn-ea"/>
                  <a:cs typeface="+mn-cs"/>
                </a:endParaRPr>
              </a:p>
              <a:p>
                <a:pPr algn="ctr"/>
                <a:r>
                  <a:rPr lang="en-PH" sz="1200" baseline="0">
                    <a:solidFill>
                      <a:schemeClr val="dk1"/>
                    </a:solidFill>
                    <a:effectLst/>
                    <a:latin typeface="+mn-lt"/>
                    <a:ea typeface="+mn-ea"/>
                    <a:cs typeface="+mn-cs"/>
                  </a:rPr>
                  <a:t>The predicted 0.05 mmHg higher blood pressure is not statistically significant.</a:t>
                </a:r>
                <a:endParaRPr lang="en-PH" sz="1200">
                  <a:latin typeface="+mn-lt"/>
                  <a:ea typeface="Cambria Math" panose="02040503050406030204" pitchFamily="18" charset="0"/>
                </a:endParaRPr>
              </a:p>
            </xdr:txBody>
          </xdr:sp>
        </mc:Fallback>
      </mc:AlternateContent>
    </xdr:grpSp>
    <xdr:clientData/>
  </xdr:twoCellAnchor>
  <xdr:twoCellAnchor>
    <xdr:from>
      <xdr:col>47</xdr:col>
      <xdr:colOff>128727</xdr:colOff>
      <xdr:row>375</xdr:row>
      <xdr:rowOff>74253</xdr:rowOff>
    </xdr:from>
    <xdr:to>
      <xdr:col>53</xdr:col>
      <xdr:colOff>240390</xdr:colOff>
      <xdr:row>389</xdr:row>
      <xdr:rowOff>55551</xdr:rowOff>
    </xdr:to>
    <xdr:grpSp>
      <xdr:nvGrpSpPr>
        <xdr:cNvPr id="57" name="Group 56">
          <a:extLst>
            <a:ext uri="{FF2B5EF4-FFF2-40B4-BE49-F238E27FC236}">
              <a16:creationId xmlns:a16="http://schemas.microsoft.com/office/drawing/2014/main" id="{3104EB27-A557-4EE5-B4C2-7B2E5BA02D36}"/>
            </a:ext>
          </a:extLst>
        </xdr:cNvPr>
        <xdr:cNvGrpSpPr/>
      </xdr:nvGrpSpPr>
      <xdr:grpSpPr>
        <a:xfrm>
          <a:off x="63831927" y="137234253"/>
          <a:ext cx="5049423" cy="5101938"/>
          <a:chOff x="42680512" y="67943458"/>
          <a:chExt cx="5015645" cy="2587398"/>
        </a:xfrm>
      </xdr:grpSpPr>
      <xdr:sp macro="" textlink="">
        <xdr:nvSpPr>
          <xdr:cNvPr id="58" name="TextBox 57">
            <a:extLst>
              <a:ext uri="{FF2B5EF4-FFF2-40B4-BE49-F238E27FC236}">
                <a16:creationId xmlns:a16="http://schemas.microsoft.com/office/drawing/2014/main" id="{E5DA18D6-21CE-7B18-9E27-33AFA54A6630}"/>
              </a:ext>
            </a:extLst>
          </xdr:cNvPr>
          <xdr:cNvSpPr txBox="1"/>
        </xdr:nvSpPr>
        <xdr:spPr>
          <a:xfrm>
            <a:off x="42680512" y="67943458"/>
            <a:ext cx="5015645" cy="860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latin typeface="+mn-lt"/>
                <a:ea typeface="Cambria Math" panose="02040503050406030204" pitchFamily="18" charset="0"/>
              </a:rPr>
              <a:t>None</a:t>
            </a:r>
          </a:p>
          <a:p>
            <a:pPr latinLnBrk="1"/>
            <a:r>
              <a:rPr lang="en-PH" sz="1100" b="0" i="0">
                <a:solidFill>
                  <a:schemeClr val="dk1"/>
                </a:solidFill>
                <a:effectLst/>
                <a:latin typeface="+mn-lt"/>
                <a:ea typeface="+mn-ea"/>
                <a:cs typeface="+mn-cs"/>
              </a:rPr>
              <a:t>P-value</a:t>
            </a:r>
            <a:r>
              <a:rPr lang="en-PH" sz="1100" b="0" i="0" baseline="0">
                <a:solidFill>
                  <a:schemeClr val="dk1"/>
                </a:solidFill>
                <a:effectLst/>
                <a:latin typeface="+mn-lt"/>
                <a:ea typeface="+mn-ea"/>
                <a:cs typeface="+mn-cs"/>
              </a:rPr>
              <a:t> = </a:t>
            </a:r>
            <a:r>
              <a:rPr lang="en-PH" sz="1100" b="0" i="0" u="none" strike="noStrike">
                <a:solidFill>
                  <a:schemeClr val="dk1"/>
                </a:solidFill>
                <a:effectLst/>
                <a:latin typeface="+mn-lt"/>
                <a:ea typeface="+mn-ea"/>
                <a:cs typeface="+mn-cs"/>
              </a:rPr>
              <a:t>0.006579806</a:t>
            </a:r>
            <a:r>
              <a:rPr lang="en-PH">
                <a:effectLst/>
              </a:rPr>
              <a:t> </a:t>
            </a:r>
            <a:endParaRPr lang="en-PH" sz="110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p>
          <a:p>
            <a:r>
              <a:rPr lang="en-PH" sz="1100" baseline="0">
                <a:effectLst/>
                <a:latin typeface="+mn-lt"/>
                <a:ea typeface="Cambria Math" panose="02040503050406030204" pitchFamily="18" charset="0"/>
              </a:rPr>
              <a:t>Coefficient = </a:t>
            </a:r>
            <a:r>
              <a:rPr lang="en-PH" sz="1100" b="0" i="0" u="none" strike="noStrike">
                <a:solidFill>
                  <a:schemeClr val="dk1"/>
                </a:solidFill>
                <a:effectLst/>
                <a:latin typeface="+mn-lt"/>
                <a:ea typeface="+mn-ea"/>
                <a:cs typeface="+mn-cs"/>
              </a:rPr>
              <a:t>3.27176285805559</a:t>
            </a:r>
            <a:endParaRPr lang="en-PH" sz="1100">
              <a:effectLst/>
              <a:latin typeface="+mn-lt"/>
              <a:ea typeface="Cambria Math" panose="02040503050406030204" pitchFamily="18" charset="0"/>
            </a:endParaRPr>
          </a:p>
        </xdr:txBody>
      </xdr:sp>
      <mc:AlternateContent xmlns:mc="http://schemas.openxmlformats.org/markup-compatibility/2006" xmlns:a14="http://schemas.microsoft.com/office/drawing/2010/main">
        <mc:Choice Requires="a14">
          <xdr:sp macro="" textlink="">
            <xdr:nvSpPr>
              <xdr:cNvPr id="59" name="TextBox 58">
                <a:extLst>
                  <a:ext uri="{FF2B5EF4-FFF2-40B4-BE49-F238E27FC236}">
                    <a16:creationId xmlns:a16="http://schemas.microsoft.com/office/drawing/2014/main" id="{41C5961F-7799-055E-DC1A-7B862F13DDEB}"/>
                  </a:ext>
                </a:extLst>
              </xdr:cNvPr>
              <xdr:cNvSpPr txBox="1"/>
            </xdr:nvSpPr>
            <xdr:spPr>
              <a:xfrm>
                <a:off x="42680512" y="69204234"/>
                <a:ext cx="4974823" cy="1326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m:rPr>
                        <m:nor/>
                      </m:rPr>
                      <a:rPr lang="en-PH" sz="1600" b="0" i="0" u="none" strike="noStrike">
                        <a:solidFill>
                          <a:schemeClr val="dk1"/>
                        </a:solidFill>
                        <a:effectLst/>
                        <a:latin typeface="Cambria Math" panose="02040503050406030204" pitchFamily="18" charset="0"/>
                        <a:ea typeface="Cambria Math" panose="02040503050406030204" pitchFamily="18" charset="0"/>
                        <a:cs typeface="+mn-cs"/>
                      </a:rPr>
                      <m:t>0.006579806</m:t>
                    </m:r>
                    <m:r>
                      <m:rPr>
                        <m:nor/>
                      </m:rPr>
                      <a:rPr lang="en-PH" sz="1600">
                        <a:effectLst/>
                        <a:latin typeface="Cambria Math" panose="02040503050406030204" pitchFamily="18" charset="0"/>
                        <a:ea typeface="Cambria Math" panose="02040503050406030204" pitchFamily="18" charset="0"/>
                      </a:rPr>
                      <m:t> </m:t>
                    </m:r>
                    <m:r>
                      <a:rPr lang="en-US" sz="1600" b="0" i="1" baseline="0">
                        <a:solidFill>
                          <a:schemeClr val="dk1"/>
                        </a:solidFill>
                        <a:effectLst/>
                        <a:latin typeface="Cambria Math" panose="02040503050406030204" pitchFamily="18" charset="0"/>
                        <a:ea typeface="Cambria Math" panose="02040503050406030204" pitchFamily="18" charset="0"/>
                        <a:cs typeface="+mn-cs"/>
                      </a:rPr>
                      <m:t> ≤0.05</m:t>
                    </m:r>
                  </m:oMath>
                </a14:m>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no treatment</a:t>
                </a:r>
                <a:r>
                  <a:rPr lang="en-PH" sz="1200" baseline="0">
                    <a:solidFill>
                      <a:schemeClr val="dk1"/>
                    </a:solidFill>
                    <a:effectLst/>
                    <a:latin typeface="+mn-lt"/>
                    <a:ea typeface="+mn-ea"/>
                    <a:cs typeface="+mn-cs"/>
                  </a:rPr>
                  <a:t> has a different effect on post systolic blood pressure than the placebo.</a:t>
                </a:r>
              </a:p>
              <a:p>
                <a:pPr algn="ctr"/>
                <a:endParaRPr lang="en-PH" sz="1200" baseline="0">
                  <a:solidFill>
                    <a:schemeClr val="dk1"/>
                  </a:solidFill>
                  <a:effectLst/>
                  <a:latin typeface="+mn-lt"/>
                  <a:ea typeface="+mn-ea"/>
                  <a:cs typeface="+mn-cs"/>
                </a:endParaRPr>
              </a:p>
              <a:p>
                <a:pPr algn="ctr"/>
                <a:r>
                  <a:rPr lang="en-PH" sz="1200" baseline="0">
                    <a:solidFill>
                      <a:schemeClr val="dk1"/>
                    </a:solidFill>
                    <a:effectLst/>
                    <a:latin typeface="+mn-lt"/>
                    <a:ea typeface="+mn-ea"/>
                    <a:cs typeface="+mn-cs"/>
                  </a:rPr>
                  <a:t>The predicted 3.27 mmHg higher blood pressure is statistically significant.</a:t>
                </a:r>
                <a:endParaRPr lang="en-PH" sz="1200">
                  <a:latin typeface="+mn-lt"/>
                  <a:ea typeface="Cambria Math" panose="02040503050406030204" pitchFamily="18" charset="0"/>
                </a:endParaRPr>
              </a:p>
            </xdr:txBody>
          </xdr:sp>
        </mc:Choice>
        <mc:Fallback xmlns="">
          <xdr:sp macro="" textlink="">
            <xdr:nvSpPr>
              <xdr:cNvPr id="59" name="TextBox 58">
                <a:extLst>
                  <a:ext uri="{FF2B5EF4-FFF2-40B4-BE49-F238E27FC236}">
                    <a16:creationId xmlns:a16="http://schemas.microsoft.com/office/drawing/2014/main" id="{41C5961F-7799-055E-DC1A-7B862F13DDEB}"/>
                  </a:ext>
                </a:extLst>
              </xdr:cNvPr>
              <xdr:cNvSpPr txBox="1"/>
            </xdr:nvSpPr>
            <xdr:spPr>
              <a:xfrm>
                <a:off x="42680512" y="69204234"/>
                <a:ext cx="4974823" cy="1326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b="0" i="0" u="none" strike="noStrike">
                    <a:solidFill>
                      <a:schemeClr val="dk1"/>
                    </a:solidFill>
                    <a:effectLst/>
                    <a:latin typeface="Cambria Math" panose="02040503050406030204" pitchFamily="18" charset="0"/>
                    <a:ea typeface="Cambria Math" panose="02040503050406030204" pitchFamily="18" charset="0"/>
                    <a:cs typeface="+mn-cs"/>
                  </a:rPr>
                  <a:t>"0.006579806</a:t>
                </a:r>
                <a:r>
                  <a:rPr lang="en-PH" sz="1600" i="0">
                    <a:effectLst/>
                    <a:latin typeface="Cambria Math" panose="02040503050406030204" pitchFamily="18" charset="0"/>
                    <a:ea typeface="Cambria Math" panose="02040503050406030204" pitchFamily="18" charset="0"/>
                  </a:rPr>
                  <a:t> </a:t>
                </a:r>
                <a:r>
                  <a:rPr lang="en-US" sz="1600" b="0" i="0" baseline="0">
                    <a:solidFill>
                      <a:schemeClr val="dk1"/>
                    </a:solidFill>
                    <a:effectLst/>
                    <a:latin typeface="Cambria Math" panose="02040503050406030204" pitchFamily="18" charset="0"/>
                    <a:ea typeface="Cambria Math" panose="02040503050406030204" pitchFamily="18" charset="0"/>
                    <a:cs typeface="+mn-cs"/>
                  </a:rPr>
                  <a:t>" ≤0.05</a:t>
                </a:r>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no treatment</a:t>
                </a:r>
                <a:r>
                  <a:rPr lang="en-PH" sz="1200" baseline="0">
                    <a:solidFill>
                      <a:schemeClr val="dk1"/>
                    </a:solidFill>
                    <a:effectLst/>
                    <a:latin typeface="+mn-lt"/>
                    <a:ea typeface="+mn-ea"/>
                    <a:cs typeface="+mn-cs"/>
                  </a:rPr>
                  <a:t> has a different effect on post systolic blood pressure than the placebo.</a:t>
                </a:r>
              </a:p>
              <a:p>
                <a:pPr algn="ctr"/>
                <a:endParaRPr lang="en-PH" sz="1200" baseline="0">
                  <a:solidFill>
                    <a:schemeClr val="dk1"/>
                  </a:solidFill>
                  <a:effectLst/>
                  <a:latin typeface="+mn-lt"/>
                  <a:ea typeface="+mn-ea"/>
                  <a:cs typeface="+mn-cs"/>
                </a:endParaRPr>
              </a:p>
              <a:p>
                <a:pPr algn="ctr"/>
                <a:r>
                  <a:rPr lang="en-PH" sz="1200" baseline="0">
                    <a:solidFill>
                      <a:schemeClr val="dk1"/>
                    </a:solidFill>
                    <a:effectLst/>
                    <a:latin typeface="+mn-lt"/>
                    <a:ea typeface="+mn-ea"/>
                    <a:cs typeface="+mn-cs"/>
                  </a:rPr>
                  <a:t>The predicted 3.27 mmHg higher blood pressure is statistically significant.</a:t>
                </a:r>
                <a:endParaRPr lang="en-PH" sz="1200">
                  <a:latin typeface="+mn-lt"/>
                  <a:ea typeface="Cambria Math" panose="02040503050406030204" pitchFamily="18" charset="0"/>
                </a:endParaRPr>
              </a:p>
            </xdr:txBody>
          </xdr:sp>
        </mc:Fallback>
      </mc:AlternateContent>
    </xdr:grpSp>
    <xdr:clientData/>
  </xdr:twoCellAnchor>
  <xdr:twoCellAnchor>
    <xdr:from>
      <xdr:col>27</xdr:col>
      <xdr:colOff>604961</xdr:colOff>
      <xdr:row>348</xdr:row>
      <xdr:rowOff>91405</xdr:rowOff>
    </xdr:from>
    <xdr:to>
      <xdr:col>34</xdr:col>
      <xdr:colOff>173831</xdr:colOff>
      <xdr:row>352</xdr:row>
      <xdr:rowOff>20634</xdr:rowOff>
    </xdr:to>
    <xdr:sp macro="" textlink="">
      <xdr:nvSpPr>
        <xdr:cNvPr id="60" name="TextBox 59">
          <a:extLst>
            <a:ext uri="{FF2B5EF4-FFF2-40B4-BE49-F238E27FC236}">
              <a16:creationId xmlns:a16="http://schemas.microsoft.com/office/drawing/2014/main" id="{9499077A-0064-4F14-8018-84A1002D7F2E}"/>
            </a:ext>
          </a:extLst>
        </xdr:cNvPr>
        <xdr:cNvSpPr txBox="1"/>
      </xdr:nvSpPr>
      <xdr:spPr>
        <a:xfrm>
          <a:off x="36304661" y="62308705"/>
          <a:ext cx="5855370" cy="6531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b="1"/>
            <a:t>Overall</a:t>
          </a:r>
        </a:p>
        <a:p>
          <a:r>
            <a:rPr lang="en-PH"/>
            <a:t>H0</a:t>
          </a:r>
          <a:r>
            <a:rPr lang="en-PH" sz="1100"/>
            <a:t>: All treatments</a:t>
          </a:r>
          <a:r>
            <a:rPr lang="en-PH" sz="1100" baseline="0"/>
            <a:t> has the same effect or equal effect on post diastolic blood pressure.</a:t>
          </a:r>
        </a:p>
        <a:p>
          <a:pPr marL="0" marR="0" lvl="0" indent="0" defTabSz="914400" eaLnBrk="1" fontAlgn="auto" latinLnBrk="0" hangingPunct="1">
            <a:lnSpc>
              <a:spcPct val="100000"/>
            </a:lnSpc>
            <a:spcBef>
              <a:spcPts val="0"/>
            </a:spcBef>
            <a:spcAft>
              <a:spcPts val="0"/>
            </a:spcAft>
            <a:buClrTx/>
            <a:buSzTx/>
            <a:buFontTx/>
            <a:buNone/>
            <a:tabLst/>
            <a:defRPr/>
          </a:pPr>
          <a:r>
            <a:rPr lang="en-PH"/>
            <a:t>H1</a:t>
          </a:r>
          <a:r>
            <a:rPr lang="en-PH" sz="1100" baseline="0"/>
            <a:t>: </a:t>
          </a:r>
          <a:r>
            <a:rPr lang="en-PH" sz="1100">
              <a:solidFill>
                <a:schemeClr val="dk1"/>
              </a:solidFill>
              <a:effectLst/>
              <a:latin typeface="+mn-lt"/>
              <a:ea typeface="+mn-ea"/>
              <a:cs typeface="+mn-cs"/>
            </a:rPr>
            <a:t>At least one treatment</a:t>
          </a:r>
          <a:r>
            <a:rPr lang="en-PH" sz="1100" baseline="0">
              <a:solidFill>
                <a:schemeClr val="dk1"/>
              </a:solidFill>
              <a:effectLst/>
              <a:latin typeface="+mn-lt"/>
              <a:ea typeface="+mn-ea"/>
              <a:cs typeface="+mn-cs"/>
            </a:rPr>
            <a:t> has a different effect on post diastolic blood pressure.</a:t>
          </a:r>
          <a:endParaRPr lang="en-PH">
            <a:effectLst/>
          </a:endParaRPr>
        </a:p>
      </xdr:txBody>
    </xdr:sp>
    <xdr:clientData/>
  </xdr:twoCellAnchor>
  <xdr:twoCellAnchor>
    <xdr:from>
      <xdr:col>34</xdr:col>
      <xdr:colOff>625088</xdr:colOff>
      <xdr:row>384</xdr:row>
      <xdr:rowOff>53534</xdr:rowOff>
    </xdr:from>
    <xdr:to>
      <xdr:col>36</xdr:col>
      <xdr:colOff>1710417</xdr:colOff>
      <xdr:row>396</xdr:row>
      <xdr:rowOff>53174</xdr:rowOff>
    </xdr:to>
    <xdr:grpSp>
      <xdr:nvGrpSpPr>
        <xdr:cNvPr id="61" name="Group 60">
          <a:extLst>
            <a:ext uri="{FF2B5EF4-FFF2-40B4-BE49-F238E27FC236}">
              <a16:creationId xmlns:a16="http://schemas.microsoft.com/office/drawing/2014/main" id="{3C0A4870-7902-4B0F-B8D2-AB58A86A1A32}"/>
            </a:ext>
          </a:extLst>
        </xdr:cNvPr>
        <xdr:cNvGrpSpPr/>
      </xdr:nvGrpSpPr>
      <xdr:grpSpPr>
        <a:xfrm>
          <a:off x="44302928" y="140505374"/>
          <a:ext cx="5047729" cy="4388760"/>
          <a:chOff x="42680512" y="67943458"/>
          <a:chExt cx="5015645" cy="2237989"/>
        </a:xfrm>
      </xdr:grpSpPr>
      <xdr:sp macro="" textlink="">
        <xdr:nvSpPr>
          <xdr:cNvPr id="62" name="TextBox 61">
            <a:extLst>
              <a:ext uri="{FF2B5EF4-FFF2-40B4-BE49-F238E27FC236}">
                <a16:creationId xmlns:a16="http://schemas.microsoft.com/office/drawing/2014/main" id="{4C1BF048-E6FA-67A0-550C-9BB030627845}"/>
              </a:ext>
            </a:extLst>
          </xdr:cNvPr>
          <xdr:cNvSpPr txBox="1"/>
        </xdr:nvSpPr>
        <xdr:spPr>
          <a:xfrm>
            <a:off x="42680512" y="67943458"/>
            <a:ext cx="5015645" cy="860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latin typeface="+mn-lt"/>
                <a:ea typeface="Cambria Math" panose="02040503050406030204" pitchFamily="18" charset="0"/>
              </a:rPr>
              <a:t>Overall</a:t>
            </a:r>
          </a:p>
          <a:p>
            <a:pPr latinLnBrk="1"/>
            <a:r>
              <a:rPr lang="en-PH" sz="1100" b="0" i="0">
                <a:solidFill>
                  <a:schemeClr val="dk1"/>
                </a:solidFill>
                <a:effectLst/>
                <a:latin typeface="+mn-lt"/>
                <a:ea typeface="+mn-ea"/>
                <a:cs typeface="+mn-cs"/>
              </a:rPr>
              <a:t>P-value</a:t>
            </a:r>
            <a:r>
              <a:rPr lang="en-PH" sz="1100" b="0" i="0" baseline="0">
                <a:solidFill>
                  <a:schemeClr val="dk1"/>
                </a:solidFill>
                <a:effectLst/>
                <a:latin typeface="+mn-lt"/>
                <a:ea typeface="+mn-ea"/>
                <a:cs typeface="+mn-cs"/>
              </a:rPr>
              <a:t> = </a:t>
            </a:r>
            <a:r>
              <a:rPr lang="en-PH" sz="1100" b="0" i="0">
                <a:solidFill>
                  <a:schemeClr val="dk1"/>
                </a:solidFill>
                <a:effectLst/>
                <a:latin typeface="+mn-lt"/>
                <a:ea typeface="+mn-ea"/>
                <a:cs typeface="+mn-cs"/>
              </a:rPr>
              <a:t>0.0000000000000000026596676893021</a:t>
            </a:r>
            <a:endParaRPr lang="en-PH" sz="110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p>
        </xdr:txBody>
      </xdr:sp>
      <mc:AlternateContent xmlns:mc="http://schemas.openxmlformats.org/markup-compatibility/2006" xmlns:a14="http://schemas.microsoft.com/office/drawing/2010/main">
        <mc:Choice Requires="a14">
          <xdr:sp macro="" textlink="">
            <xdr:nvSpPr>
              <xdr:cNvPr id="63" name="TextBox 62">
                <a:extLst>
                  <a:ext uri="{FF2B5EF4-FFF2-40B4-BE49-F238E27FC236}">
                    <a16:creationId xmlns:a16="http://schemas.microsoft.com/office/drawing/2014/main" id="{E229FE25-AAF6-967B-7515-DEBA2EAF5913}"/>
                  </a:ext>
                </a:extLst>
              </xdr:cNvPr>
              <xdr:cNvSpPr txBox="1"/>
            </xdr:nvSpPr>
            <xdr:spPr>
              <a:xfrm>
                <a:off x="42680512" y="69204234"/>
                <a:ext cx="4974823" cy="977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m:rPr>
                        <m:nor/>
                      </m:rPr>
                      <a:rPr lang="en-PH" sz="1600" b="0" i="0">
                        <a:solidFill>
                          <a:schemeClr val="dk1"/>
                        </a:solidFill>
                        <a:effectLst/>
                        <a:latin typeface="Cambria Math" panose="02040503050406030204" pitchFamily="18" charset="0"/>
                        <a:ea typeface="Cambria Math" panose="02040503050406030204" pitchFamily="18" charset="0"/>
                        <a:cs typeface="+mn-cs"/>
                      </a:rPr>
                      <m:t>0.0000000000000000027</m:t>
                    </m:r>
                    <m:r>
                      <a:rPr lang="en-US" sz="1600" b="0" i="1" baseline="0">
                        <a:solidFill>
                          <a:schemeClr val="dk1"/>
                        </a:solidFill>
                        <a:effectLst/>
                        <a:latin typeface="Cambria Math" panose="02040503050406030204" pitchFamily="18" charset="0"/>
                        <a:ea typeface="Cambria Math" panose="02040503050406030204" pitchFamily="18" charset="0"/>
                        <a:cs typeface="+mn-cs"/>
                      </a:rPr>
                      <m:t>≤0.05</m:t>
                    </m:r>
                  </m:oMath>
                </a14:m>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at least one treatment</a:t>
                </a:r>
                <a:r>
                  <a:rPr lang="en-PH" sz="1200" baseline="0">
                    <a:solidFill>
                      <a:schemeClr val="dk1"/>
                    </a:solidFill>
                    <a:effectLst/>
                    <a:latin typeface="+mn-lt"/>
                    <a:ea typeface="+mn-ea"/>
                    <a:cs typeface="+mn-cs"/>
                  </a:rPr>
                  <a:t> has a different effect on post diastolic blood pressure.</a:t>
                </a:r>
              </a:p>
            </xdr:txBody>
          </xdr:sp>
        </mc:Choice>
        <mc:Fallback xmlns="">
          <xdr:sp macro="" textlink="">
            <xdr:nvSpPr>
              <xdr:cNvPr id="63" name="TextBox 62">
                <a:extLst>
                  <a:ext uri="{FF2B5EF4-FFF2-40B4-BE49-F238E27FC236}">
                    <a16:creationId xmlns:a16="http://schemas.microsoft.com/office/drawing/2014/main" id="{E229FE25-AAF6-967B-7515-DEBA2EAF5913}"/>
                  </a:ext>
                </a:extLst>
              </xdr:cNvPr>
              <xdr:cNvSpPr txBox="1"/>
            </xdr:nvSpPr>
            <xdr:spPr>
              <a:xfrm>
                <a:off x="42680512" y="69204234"/>
                <a:ext cx="4974823" cy="977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b="0" i="0">
                    <a:solidFill>
                      <a:schemeClr val="dk1"/>
                    </a:solidFill>
                    <a:effectLst/>
                    <a:latin typeface="Cambria Math" panose="02040503050406030204" pitchFamily="18" charset="0"/>
                    <a:ea typeface="Cambria Math" panose="02040503050406030204" pitchFamily="18" charset="0"/>
                    <a:cs typeface="+mn-cs"/>
                  </a:rPr>
                  <a:t>"0.0000000000000000027</a:t>
                </a:r>
                <a:r>
                  <a:rPr lang="en-US" sz="1600" b="0" i="0" baseline="0">
                    <a:solidFill>
                      <a:schemeClr val="dk1"/>
                    </a:solidFill>
                    <a:effectLst/>
                    <a:latin typeface="Cambria Math" panose="02040503050406030204" pitchFamily="18" charset="0"/>
                    <a:ea typeface="Cambria Math" panose="02040503050406030204" pitchFamily="18" charset="0"/>
                    <a:cs typeface="+mn-cs"/>
                  </a:rPr>
                  <a:t>"≤0.05</a:t>
                </a:r>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at least one treatment</a:t>
                </a:r>
                <a:r>
                  <a:rPr lang="en-PH" sz="1200" baseline="0">
                    <a:solidFill>
                      <a:schemeClr val="dk1"/>
                    </a:solidFill>
                    <a:effectLst/>
                    <a:latin typeface="+mn-lt"/>
                    <a:ea typeface="+mn-ea"/>
                    <a:cs typeface="+mn-cs"/>
                  </a:rPr>
                  <a:t> has a different effect on post diastolic blood pressure.</a:t>
                </a:r>
              </a:p>
            </xdr:txBody>
          </xdr:sp>
        </mc:Fallback>
      </mc:AlternateContent>
    </xdr:grpSp>
    <xdr:clientData/>
  </xdr:twoCellAnchor>
  <xdr:twoCellAnchor>
    <xdr:from>
      <xdr:col>44</xdr:col>
      <xdr:colOff>11043</xdr:colOff>
      <xdr:row>352</xdr:row>
      <xdr:rowOff>158761</xdr:rowOff>
    </xdr:from>
    <xdr:to>
      <xdr:col>46</xdr:col>
      <xdr:colOff>1922358</xdr:colOff>
      <xdr:row>356</xdr:row>
      <xdr:rowOff>79865</xdr:rowOff>
    </xdr:to>
    <xdr:sp macro="" textlink="">
      <xdr:nvSpPr>
        <xdr:cNvPr id="64" name="TextBox 63">
          <a:extLst>
            <a:ext uri="{FF2B5EF4-FFF2-40B4-BE49-F238E27FC236}">
              <a16:creationId xmlns:a16="http://schemas.microsoft.com/office/drawing/2014/main" id="{5AF10987-F144-4980-8F91-EF9BAA718985}"/>
            </a:ext>
          </a:extLst>
        </xdr:cNvPr>
        <xdr:cNvSpPr txBox="1"/>
      </xdr:nvSpPr>
      <xdr:spPr>
        <a:xfrm>
          <a:off x="59708300" y="65603675"/>
          <a:ext cx="5851944" cy="6722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b="1"/>
            <a:t>Overall</a:t>
          </a:r>
        </a:p>
        <a:p>
          <a:r>
            <a:rPr lang="en-PH" sz="1100">
              <a:solidFill>
                <a:schemeClr val="dk1"/>
              </a:solidFill>
              <a:effectLst/>
              <a:latin typeface="+mn-lt"/>
              <a:ea typeface="+mn-ea"/>
              <a:cs typeface="+mn-cs"/>
            </a:rPr>
            <a:t>H0: All treatments</a:t>
          </a:r>
          <a:r>
            <a:rPr lang="en-PH" sz="1100" baseline="0">
              <a:solidFill>
                <a:schemeClr val="dk1"/>
              </a:solidFill>
              <a:effectLst/>
              <a:latin typeface="+mn-lt"/>
              <a:ea typeface="+mn-ea"/>
              <a:cs typeface="+mn-cs"/>
            </a:rPr>
            <a:t> has the same effect or equal effect on post systolic blood pressure.</a:t>
          </a:r>
          <a:endParaRPr lang="en-PH">
            <a:effectLst/>
          </a:endParaRPr>
        </a:p>
        <a:p>
          <a:pPr eaLnBrk="1" fontAlgn="auto" latinLnBrk="0" hangingPunct="1"/>
          <a:r>
            <a:rPr lang="en-PH" sz="1100">
              <a:solidFill>
                <a:schemeClr val="dk1"/>
              </a:solidFill>
              <a:effectLst/>
              <a:latin typeface="+mn-lt"/>
              <a:ea typeface="+mn-ea"/>
              <a:cs typeface="+mn-cs"/>
            </a:rPr>
            <a:t>H1</a:t>
          </a:r>
          <a:r>
            <a:rPr lang="en-PH" sz="1100" baseline="0">
              <a:solidFill>
                <a:schemeClr val="dk1"/>
              </a:solidFill>
              <a:effectLst/>
              <a:latin typeface="+mn-lt"/>
              <a:ea typeface="+mn-ea"/>
              <a:cs typeface="+mn-cs"/>
            </a:rPr>
            <a:t>: </a:t>
          </a:r>
          <a:r>
            <a:rPr lang="en-PH" sz="1100">
              <a:solidFill>
                <a:schemeClr val="dk1"/>
              </a:solidFill>
              <a:effectLst/>
              <a:latin typeface="+mn-lt"/>
              <a:ea typeface="+mn-ea"/>
              <a:cs typeface="+mn-cs"/>
            </a:rPr>
            <a:t>At least one treatment</a:t>
          </a:r>
          <a:r>
            <a:rPr lang="en-PH" sz="1100" baseline="0">
              <a:solidFill>
                <a:schemeClr val="dk1"/>
              </a:solidFill>
              <a:effectLst/>
              <a:latin typeface="+mn-lt"/>
              <a:ea typeface="+mn-ea"/>
              <a:cs typeface="+mn-cs"/>
            </a:rPr>
            <a:t> has a different effect on post systolic blood pressure.</a:t>
          </a:r>
          <a:endParaRPr lang="en-PH">
            <a:effectLst/>
          </a:endParaRPr>
        </a:p>
      </xdr:txBody>
    </xdr:sp>
    <xdr:clientData/>
  </xdr:twoCellAnchor>
  <xdr:twoCellAnchor>
    <xdr:from>
      <xdr:col>47</xdr:col>
      <xdr:colOff>163286</xdr:colOff>
      <xdr:row>391</xdr:row>
      <xdr:rowOff>65316</xdr:rowOff>
    </xdr:from>
    <xdr:to>
      <xdr:col>53</xdr:col>
      <xdr:colOff>268900</xdr:colOff>
      <xdr:row>403</xdr:row>
      <xdr:rowOff>64956</xdr:rowOff>
    </xdr:to>
    <xdr:grpSp>
      <xdr:nvGrpSpPr>
        <xdr:cNvPr id="66" name="Group 65">
          <a:extLst>
            <a:ext uri="{FF2B5EF4-FFF2-40B4-BE49-F238E27FC236}">
              <a16:creationId xmlns:a16="http://schemas.microsoft.com/office/drawing/2014/main" id="{82ABBC57-9AFE-4D98-BCA9-C80305D9FBB9}"/>
            </a:ext>
          </a:extLst>
        </xdr:cNvPr>
        <xdr:cNvGrpSpPr/>
      </xdr:nvGrpSpPr>
      <xdr:grpSpPr>
        <a:xfrm>
          <a:off x="63866486" y="143077476"/>
          <a:ext cx="5043374" cy="4388760"/>
          <a:chOff x="42680512" y="67943458"/>
          <a:chExt cx="5015645" cy="2237989"/>
        </a:xfrm>
      </xdr:grpSpPr>
      <xdr:sp macro="" textlink="">
        <xdr:nvSpPr>
          <xdr:cNvPr id="67" name="TextBox 66">
            <a:extLst>
              <a:ext uri="{FF2B5EF4-FFF2-40B4-BE49-F238E27FC236}">
                <a16:creationId xmlns:a16="http://schemas.microsoft.com/office/drawing/2014/main" id="{4515CB0C-5397-47D7-925E-D1475BC718C0}"/>
              </a:ext>
            </a:extLst>
          </xdr:cNvPr>
          <xdr:cNvSpPr txBox="1"/>
        </xdr:nvSpPr>
        <xdr:spPr>
          <a:xfrm>
            <a:off x="42680512" y="67943458"/>
            <a:ext cx="5015645" cy="860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latin typeface="+mn-lt"/>
                <a:ea typeface="Cambria Math" panose="02040503050406030204" pitchFamily="18" charset="0"/>
              </a:rPr>
              <a:t>Overall</a:t>
            </a:r>
          </a:p>
          <a:p>
            <a:pPr latinLnBrk="1"/>
            <a:r>
              <a:rPr lang="en-PH" sz="1100" b="0" i="0">
                <a:solidFill>
                  <a:schemeClr val="dk1"/>
                </a:solidFill>
                <a:effectLst/>
                <a:latin typeface="+mn-lt"/>
                <a:ea typeface="+mn-ea"/>
                <a:cs typeface="+mn-cs"/>
              </a:rPr>
              <a:t>P-value</a:t>
            </a:r>
            <a:r>
              <a:rPr lang="en-PH" sz="1100" b="0" i="0" baseline="0">
                <a:solidFill>
                  <a:schemeClr val="dk1"/>
                </a:solidFill>
                <a:effectLst/>
                <a:latin typeface="+mn-lt"/>
                <a:ea typeface="+mn-ea"/>
                <a:cs typeface="+mn-cs"/>
              </a:rPr>
              <a:t> = </a:t>
            </a:r>
            <a:r>
              <a:rPr lang="en-PH" sz="1100" b="0" i="0">
                <a:solidFill>
                  <a:schemeClr val="dk1"/>
                </a:solidFill>
                <a:effectLst/>
                <a:latin typeface="+mn-lt"/>
                <a:ea typeface="+mn-ea"/>
                <a:cs typeface="+mn-cs"/>
              </a:rPr>
              <a:t>0.000000000000000454624628491472</a:t>
            </a:r>
            <a:endParaRPr lang="en-PH" sz="1100">
              <a:effectLst/>
              <a:latin typeface="+mn-lt"/>
              <a:ea typeface="Cambria Math" panose="02040503050406030204" pitchFamily="18" charset="0"/>
            </a:endParaRPr>
          </a:p>
          <a:p>
            <a:r>
              <a:rPr lang="en-PH" sz="1100" baseline="0">
                <a:effectLst/>
                <a:latin typeface="+mn-lt"/>
                <a:ea typeface="Cambria Math" panose="02040503050406030204" pitchFamily="18" charset="0"/>
              </a:rPr>
              <a:t>alpha  = 0.05</a:t>
            </a:r>
          </a:p>
        </xdr:txBody>
      </xdr:sp>
      <mc:AlternateContent xmlns:mc="http://schemas.openxmlformats.org/markup-compatibility/2006" xmlns:a14="http://schemas.microsoft.com/office/drawing/2010/main">
        <mc:Choice Requires="a14">
          <xdr:sp macro="" textlink="">
            <xdr:nvSpPr>
              <xdr:cNvPr id="68" name="TextBox 67">
                <a:extLst>
                  <a:ext uri="{FF2B5EF4-FFF2-40B4-BE49-F238E27FC236}">
                    <a16:creationId xmlns:a16="http://schemas.microsoft.com/office/drawing/2014/main" id="{8A8A13FF-CFF8-3842-02FA-08E7A3F257C8}"/>
                  </a:ext>
                </a:extLst>
              </xdr:cNvPr>
              <xdr:cNvSpPr txBox="1"/>
            </xdr:nvSpPr>
            <xdr:spPr>
              <a:xfrm>
                <a:off x="42680512" y="69204234"/>
                <a:ext cx="4974823" cy="977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14:m>
                  <m:oMath xmlns:m="http://schemas.openxmlformats.org/officeDocument/2006/math">
                    <m:r>
                      <m:rPr>
                        <m:nor/>
                      </m:rPr>
                      <a:rPr lang="en-PH" sz="1600" b="0" i="0">
                        <a:solidFill>
                          <a:schemeClr val="dk1"/>
                        </a:solidFill>
                        <a:effectLst/>
                        <a:latin typeface="Cambria Math" panose="02040503050406030204" pitchFamily="18" charset="0"/>
                        <a:ea typeface="Cambria Math" panose="02040503050406030204" pitchFamily="18" charset="0"/>
                        <a:cs typeface="+mn-cs"/>
                      </a:rPr>
                      <m:t>0.00000000000000045</m:t>
                    </m:r>
                    <m:r>
                      <a:rPr lang="en-US" sz="1600" b="0" i="1" baseline="0">
                        <a:solidFill>
                          <a:schemeClr val="dk1"/>
                        </a:solidFill>
                        <a:effectLst/>
                        <a:latin typeface="Cambria Math" panose="02040503050406030204" pitchFamily="18" charset="0"/>
                        <a:ea typeface="Cambria Math" panose="02040503050406030204" pitchFamily="18" charset="0"/>
                        <a:cs typeface="+mn-cs"/>
                      </a:rPr>
                      <m:t>≤0.05</m:t>
                    </m:r>
                  </m:oMath>
                </a14:m>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at least one treatment</a:t>
                </a:r>
                <a:r>
                  <a:rPr lang="en-PH" sz="1200" baseline="0">
                    <a:solidFill>
                      <a:schemeClr val="dk1"/>
                    </a:solidFill>
                    <a:effectLst/>
                    <a:latin typeface="+mn-lt"/>
                    <a:ea typeface="+mn-ea"/>
                    <a:cs typeface="+mn-cs"/>
                  </a:rPr>
                  <a:t> has a different effect on post diastolic blood pressure.</a:t>
                </a:r>
              </a:p>
            </xdr:txBody>
          </xdr:sp>
        </mc:Choice>
        <mc:Fallback xmlns="">
          <xdr:sp macro="" textlink="">
            <xdr:nvSpPr>
              <xdr:cNvPr id="68" name="TextBox 67">
                <a:extLst>
                  <a:ext uri="{FF2B5EF4-FFF2-40B4-BE49-F238E27FC236}">
                    <a16:creationId xmlns:a16="http://schemas.microsoft.com/office/drawing/2014/main" id="{8A8A13FF-CFF8-3842-02FA-08E7A3F257C8}"/>
                  </a:ext>
                </a:extLst>
              </xdr:cNvPr>
              <xdr:cNvSpPr txBox="1"/>
            </xdr:nvSpPr>
            <xdr:spPr>
              <a:xfrm>
                <a:off x="42680512" y="69204234"/>
                <a:ext cx="4974823" cy="977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b="0" i="0">
                    <a:solidFill>
                      <a:schemeClr val="dk1"/>
                    </a:solidFill>
                    <a:effectLst/>
                    <a:latin typeface="Cambria Math" panose="02040503050406030204" pitchFamily="18" charset="0"/>
                    <a:ea typeface="Cambria Math" panose="02040503050406030204" pitchFamily="18" charset="0"/>
                    <a:cs typeface="+mn-cs"/>
                  </a:rPr>
                  <a:t>"0.00000000000000045</a:t>
                </a:r>
                <a:r>
                  <a:rPr lang="en-US" sz="1600" b="0" i="0" baseline="0">
                    <a:solidFill>
                      <a:schemeClr val="dk1"/>
                    </a:solidFill>
                    <a:effectLst/>
                    <a:latin typeface="Cambria Math" panose="02040503050406030204" pitchFamily="18" charset="0"/>
                    <a:ea typeface="Cambria Math" panose="02040503050406030204" pitchFamily="18" charset="0"/>
                    <a:cs typeface="+mn-cs"/>
                  </a:rPr>
                  <a:t>"≤0.05</a:t>
                </a:r>
                <a:r>
                  <a:rPr lang="en-PH" sz="1600">
                    <a:latin typeface="Cambria Math" panose="02040503050406030204" pitchFamily="18" charset="0"/>
                    <a:ea typeface="Cambria Math" panose="02040503050406030204" pitchFamily="18" charset="0"/>
                  </a:rPr>
                  <a:t> </a:t>
                </a:r>
                <a:br>
                  <a:rPr lang="en-PH" sz="1600">
                    <a:latin typeface="Cambria Math" panose="02040503050406030204" pitchFamily="18" charset="0"/>
                    <a:ea typeface="Cambria Math" panose="02040503050406030204" pitchFamily="18" charset="0"/>
                  </a:rPr>
                </a:br>
                <a:endParaRPr lang="en-PH" sz="1200">
                  <a:latin typeface="+mn-lt"/>
                  <a:ea typeface="Cambria Math" panose="02040503050406030204" pitchFamily="18" charset="0"/>
                </a:endParaRPr>
              </a:p>
              <a:p>
                <a:pPr algn="ctr"/>
                <a:r>
                  <a:rPr lang="en-PH" sz="1200">
                    <a:latin typeface="+mn-lt"/>
                    <a:ea typeface="Cambria Math" panose="02040503050406030204" pitchFamily="18" charset="0"/>
                  </a:rPr>
                  <a:t>This means we have sufficient evidence to say that </a:t>
                </a:r>
                <a:r>
                  <a:rPr lang="en-PH" sz="1200">
                    <a:solidFill>
                      <a:schemeClr val="dk1"/>
                    </a:solidFill>
                    <a:effectLst/>
                    <a:latin typeface="+mn-lt"/>
                    <a:ea typeface="+mn-ea"/>
                    <a:cs typeface="+mn-cs"/>
                  </a:rPr>
                  <a:t>at least one treatment</a:t>
                </a:r>
                <a:r>
                  <a:rPr lang="en-PH" sz="1200" baseline="0">
                    <a:solidFill>
                      <a:schemeClr val="dk1"/>
                    </a:solidFill>
                    <a:effectLst/>
                    <a:latin typeface="+mn-lt"/>
                    <a:ea typeface="+mn-ea"/>
                    <a:cs typeface="+mn-cs"/>
                  </a:rPr>
                  <a:t> has a different effect on post diastolic blood pressure.</a:t>
                </a:r>
              </a:p>
            </xdr:txBody>
          </xdr:sp>
        </mc:Fallback>
      </mc:AlternateContent>
    </xdr:grpSp>
    <xdr:clientData/>
  </xdr:twoCellAnchor>
  <xdr:twoCellAnchor>
    <xdr:from>
      <xdr:col>0</xdr:col>
      <xdr:colOff>0</xdr:colOff>
      <xdr:row>122</xdr:row>
      <xdr:rowOff>0</xdr:rowOff>
    </xdr:from>
    <xdr:to>
      <xdr:col>9</xdr:col>
      <xdr:colOff>60960</xdr:colOff>
      <xdr:row>130</xdr:row>
      <xdr:rowOff>206187</xdr:rowOff>
    </xdr:to>
    <xdr:sp macro="" textlink="">
      <xdr:nvSpPr>
        <xdr:cNvPr id="2" name="TextBox 1">
          <a:extLst>
            <a:ext uri="{FF2B5EF4-FFF2-40B4-BE49-F238E27FC236}">
              <a16:creationId xmlns:a16="http://schemas.microsoft.com/office/drawing/2014/main" id="{FB6B958C-2EA5-49B6-A6AE-595AEE793D22}"/>
            </a:ext>
          </a:extLst>
        </xdr:cNvPr>
        <xdr:cNvSpPr txBox="1"/>
      </xdr:nvSpPr>
      <xdr:spPr>
        <a:xfrm>
          <a:off x="0" y="43747765"/>
          <a:ext cx="9823525" cy="3074893"/>
        </a:xfrm>
        <a:prstGeom prst="rect">
          <a:avLst/>
        </a:prstGeom>
        <a:solidFill>
          <a:schemeClr val="accent2">
            <a:lumMod val="20000"/>
            <a:lumOff val="80000"/>
          </a:schemeClr>
        </a:solidFill>
        <a:ln w="9525" cmpd="sng">
          <a:solidFill>
            <a:schemeClr val="accent2">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200" b="1"/>
            <a:t>Summary Report </a:t>
          </a:r>
          <a:r>
            <a:rPr lang="en-PH" sz="1200" b="1" baseline="0"/>
            <a:t>of Findings</a:t>
          </a:r>
        </a:p>
        <a:p>
          <a:endParaRPr lang="en-PH" sz="1200" b="1"/>
        </a:p>
        <a:p>
          <a:r>
            <a:rPr lang="en-PH" sz="1200"/>
            <a:t>Descriptive statistics showed modest reductions in both diastolic and systolic pressures from pre- to post-treatment across all groups. Correlation and simple linear regression analyses revealed a </a:t>
          </a:r>
          <a:r>
            <a:rPr lang="en-PH" sz="1200" b="0"/>
            <a:t>strong, significant positive relationship</a:t>
          </a:r>
          <a:r>
            <a:rPr lang="en-PH" sz="1200"/>
            <a:t> between pre- and post-treatment blood pressures, confirming that baseline blood pressure was a strong predictor of post-treatment outcomes.</a:t>
          </a:r>
        </a:p>
        <a:p>
          <a:endParaRPr lang="en-PH" sz="1200"/>
        </a:p>
        <a:p>
          <a:r>
            <a:rPr lang="en-PH" sz="1200" b="0"/>
            <a:t>When ANCOVA was applied, both models</a:t>
          </a:r>
          <a:r>
            <a:rPr lang="en-PH" sz="1200" b="0" baseline="0"/>
            <a:t> </a:t>
          </a:r>
          <a:r>
            <a:rPr lang="en-PH" sz="1200" b="0"/>
            <a:t>post-diastolic and post-systolic</a:t>
          </a:r>
          <a:r>
            <a:rPr lang="en-PH" sz="1200" b="0" baseline="0"/>
            <a:t> </a:t>
          </a:r>
          <a:r>
            <a:rPr lang="en-PH" sz="1200" b="0"/>
            <a:t>showed overall significant effects, indicating that treatment type and baseline pressure together explained substantial variability in post-treatment blood pressure. In both analyses, the baseline covariate remained highly significant, demonstrating that initial blood pressure strongly influenced final readings. However, among treatment comparisons, only the None treatment showed a statistically significant difference compared with the Placebo treatment. Neither the New Medicine nor the Old Medicine produced significant changes relative to placebo.</a:t>
          </a:r>
        </a:p>
        <a:p>
          <a:endParaRPr lang="en-PH" sz="1200" b="0"/>
        </a:p>
        <a:p>
          <a:r>
            <a:rPr lang="en-PH" sz="1200" b="0"/>
            <a:t>Al</a:t>
          </a:r>
          <a:r>
            <a:rPr lang="en-PH" sz="1200" b="0" baseline="0"/>
            <a:t>l-in-all</a:t>
          </a:r>
          <a:r>
            <a:rPr lang="en-PH" sz="1200" b="0"/>
            <a:t>, the results suggest that while pre-treatment blood pressure strongly determines post-treatment blood</a:t>
          </a:r>
          <a:r>
            <a:rPr lang="en-PH" sz="1200" b="0" baseline="0"/>
            <a:t> pressure</a:t>
          </a:r>
          <a:r>
            <a:rPr lang="en-PH" sz="1200" b="0"/>
            <a:t>, neither the New nor Old Medicine demonstrated a significant blood-pressure-lowering effect compared to Placebo, and the only significant difference was that the no-treatment (None) condition led to marginally higher pressures.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refreshedDate="45949.747783796294" createdVersion="8" refreshedVersion="8" minRefreshableVersion="3" recordCount="48" xr:uid="{544C54A6-8743-4E9B-B056-7636571AD9ED}">
  <cacheSource type="worksheet">
    <worksheetSource name="Poison_Dataset"/>
  </cacheSource>
  <cacheFields count="4">
    <cacheField name="id" numFmtId="0">
      <sharedItems containsSemiMixedTypes="0" containsString="0" containsNumber="1" containsInteger="1" minValue="1" maxValue="48"/>
    </cacheField>
    <cacheField name="time" numFmtId="0">
      <sharedItems containsSemiMixedTypes="0" containsString="0" containsNumber="1" minValue="0.18" maxValue="1.24" count="34">
        <n v="0.31"/>
        <n v="0.45"/>
        <n v="0.46"/>
        <n v="0.43"/>
        <n v="0.36"/>
        <n v="0.28999999999999998"/>
        <n v="0.4"/>
        <n v="0.23"/>
        <n v="0.22"/>
        <n v="0.21"/>
        <n v="0.18"/>
        <n v="0.82"/>
        <n v="1.1000000000000001"/>
        <n v="0.88"/>
        <n v="0.72"/>
        <n v="0.92"/>
        <n v="0.61"/>
        <n v="0.49"/>
        <n v="1.24"/>
        <n v="0.3"/>
        <n v="0.37"/>
        <n v="0.38"/>
        <n v="0.63"/>
        <n v="0.76"/>
        <n v="0.44"/>
        <n v="0.35"/>
        <n v="0.25"/>
        <n v="0.24"/>
        <n v="0.71"/>
        <n v="0.66"/>
        <n v="0.62"/>
        <n v="0.56000000000000005"/>
        <n v="1.02"/>
        <n v="0.33"/>
      </sharedItems>
    </cacheField>
    <cacheField name="poison" numFmtId="0">
      <sharedItems containsSemiMixedTypes="0" containsString="0" containsNumber="1" containsInteger="1" minValue="1" maxValue="3" count="3">
        <n v="1"/>
        <n v="2"/>
        <n v="3"/>
      </sharedItems>
    </cacheField>
    <cacheField name="treat" numFmtId="0">
      <sharedItems count="4">
        <s v="A"/>
        <s v="B"/>
        <s v="C"/>
        <s v="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refreshedDate="45950.055363657404" createdVersion="8" refreshedVersion="8" minRefreshableVersion="3" recordCount="120" xr:uid="{80399454-1C64-477F-A6A5-8618FFBDBCD9}">
  <cacheSource type="worksheet">
    <worksheetSource name="Blood_Pressure_Dataset[[predias]:[postsys]]"/>
  </cacheSource>
  <cacheFields count="6">
    <cacheField name="predias" numFmtId="0">
      <sharedItems containsSemiMixedTypes="0" containsString="0" containsNumber="1" minValue="89" maxValue="113.5"/>
    </cacheField>
    <cacheField name="presys" numFmtId="0">
      <sharedItems containsSemiMixedTypes="0" containsString="0" containsNumber="1" minValue="136" maxValue="169"/>
    </cacheField>
    <cacheField name="treatment" numFmtId="0">
      <sharedItems count="4">
        <s v="None"/>
        <s v="Old Medicine"/>
        <s v="New Medicine"/>
        <s v="Placebo"/>
      </sharedItems>
    </cacheField>
    <cacheField name="postdias" numFmtId="0">
      <sharedItems containsSemiMixedTypes="0" containsString="0" containsNumber="1" minValue="83" maxValue="108"/>
    </cacheField>
    <cacheField name="postsys" numFmtId="0">
      <sharedItems containsSemiMixedTypes="0" containsString="0" containsNumber="1" minValue="120" maxValue="151.5"/>
    </cacheField>
    <cacheField name="Field1" numFmtId="0" formula=" 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
    <x v="0"/>
    <x v="0"/>
    <x v="0"/>
  </r>
  <r>
    <n v="2"/>
    <x v="1"/>
    <x v="0"/>
    <x v="0"/>
  </r>
  <r>
    <n v="3"/>
    <x v="2"/>
    <x v="0"/>
    <x v="0"/>
  </r>
  <r>
    <n v="4"/>
    <x v="3"/>
    <x v="0"/>
    <x v="0"/>
  </r>
  <r>
    <n v="5"/>
    <x v="4"/>
    <x v="1"/>
    <x v="0"/>
  </r>
  <r>
    <n v="6"/>
    <x v="5"/>
    <x v="1"/>
    <x v="0"/>
  </r>
  <r>
    <n v="7"/>
    <x v="6"/>
    <x v="1"/>
    <x v="0"/>
  </r>
  <r>
    <n v="8"/>
    <x v="7"/>
    <x v="1"/>
    <x v="0"/>
  </r>
  <r>
    <n v="9"/>
    <x v="8"/>
    <x v="2"/>
    <x v="0"/>
  </r>
  <r>
    <n v="10"/>
    <x v="9"/>
    <x v="2"/>
    <x v="0"/>
  </r>
  <r>
    <n v="11"/>
    <x v="10"/>
    <x v="2"/>
    <x v="0"/>
  </r>
  <r>
    <n v="12"/>
    <x v="7"/>
    <x v="2"/>
    <x v="0"/>
  </r>
  <r>
    <n v="13"/>
    <x v="11"/>
    <x v="0"/>
    <x v="1"/>
  </r>
  <r>
    <n v="14"/>
    <x v="12"/>
    <x v="0"/>
    <x v="1"/>
  </r>
  <r>
    <n v="15"/>
    <x v="13"/>
    <x v="0"/>
    <x v="1"/>
  </r>
  <r>
    <n v="16"/>
    <x v="14"/>
    <x v="0"/>
    <x v="1"/>
  </r>
  <r>
    <n v="17"/>
    <x v="15"/>
    <x v="1"/>
    <x v="1"/>
  </r>
  <r>
    <n v="18"/>
    <x v="16"/>
    <x v="1"/>
    <x v="1"/>
  </r>
  <r>
    <n v="19"/>
    <x v="17"/>
    <x v="1"/>
    <x v="1"/>
  </r>
  <r>
    <n v="20"/>
    <x v="18"/>
    <x v="1"/>
    <x v="1"/>
  </r>
  <r>
    <n v="21"/>
    <x v="19"/>
    <x v="2"/>
    <x v="1"/>
  </r>
  <r>
    <n v="22"/>
    <x v="20"/>
    <x v="2"/>
    <x v="1"/>
  </r>
  <r>
    <n v="23"/>
    <x v="21"/>
    <x v="2"/>
    <x v="1"/>
  </r>
  <r>
    <n v="24"/>
    <x v="5"/>
    <x v="2"/>
    <x v="1"/>
  </r>
  <r>
    <n v="25"/>
    <x v="3"/>
    <x v="0"/>
    <x v="2"/>
  </r>
  <r>
    <n v="26"/>
    <x v="1"/>
    <x v="0"/>
    <x v="2"/>
  </r>
  <r>
    <n v="27"/>
    <x v="22"/>
    <x v="0"/>
    <x v="2"/>
  </r>
  <r>
    <n v="28"/>
    <x v="23"/>
    <x v="0"/>
    <x v="2"/>
  </r>
  <r>
    <n v="29"/>
    <x v="24"/>
    <x v="1"/>
    <x v="2"/>
  </r>
  <r>
    <n v="30"/>
    <x v="25"/>
    <x v="1"/>
    <x v="2"/>
  </r>
  <r>
    <n v="31"/>
    <x v="0"/>
    <x v="1"/>
    <x v="2"/>
  </r>
  <r>
    <n v="32"/>
    <x v="6"/>
    <x v="1"/>
    <x v="2"/>
  </r>
  <r>
    <n v="33"/>
    <x v="7"/>
    <x v="2"/>
    <x v="2"/>
  </r>
  <r>
    <n v="34"/>
    <x v="26"/>
    <x v="2"/>
    <x v="2"/>
  </r>
  <r>
    <n v="35"/>
    <x v="27"/>
    <x v="2"/>
    <x v="2"/>
  </r>
  <r>
    <n v="36"/>
    <x v="8"/>
    <x v="2"/>
    <x v="2"/>
  </r>
  <r>
    <n v="37"/>
    <x v="1"/>
    <x v="0"/>
    <x v="3"/>
  </r>
  <r>
    <n v="38"/>
    <x v="28"/>
    <x v="0"/>
    <x v="3"/>
  </r>
  <r>
    <n v="39"/>
    <x v="29"/>
    <x v="0"/>
    <x v="3"/>
  </r>
  <r>
    <n v="40"/>
    <x v="30"/>
    <x v="0"/>
    <x v="3"/>
  </r>
  <r>
    <n v="41"/>
    <x v="31"/>
    <x v="1"/>
    <x v="3"/>
  </r>
  <r>
    <n v="42"/>
    <x v="32"/>
    <x v="1"/>
    <x v="3"/>
  </r>
  <r>
    <n v="43"/>
    <x v="28"/>
    <x v="1"/>
    <x v="3"/>
  </r>
  <r>
    <n v="44"/>
    <x v="21"/>
    <x v="1"/>
    <x v="3"/>
  </r>
  <r>
    <n v="45"/>
    <x v="19"/>
    <x v="2"/>
    <x v="3"/>
  </r>
  <r>
    <n v="46"/>
    <x v="4"/>
    <x v="2"/>
    <x v="3"/>
  </r>
  <r>
    <n v="47"/>
    <x v="0"/>
    <x v="2"/>
    <x v="3"/>
  </r>
  <r>
    <n v="48"/>
    <x v="33"/>
    <x v="2"/>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13"/>
    <n v="169"/>
    <x v="0"/>
    <n v="108"/>
    <n v="151.5"/>
  </r>
  <r>
    <n v="113.5"/>
    <n v="161.5"/>
    <x v="1"/>
    <n v="96"/>
    <n v="145.5"/>
  </r>
  <r>
    <n v="102"/>
    <n v="156"/>
    <x v="1"/>
    <n v="94.5"/>
    <n v="134.5"/>
  </r>
  <r>
    <n v="108.5"/>
    <n v="157.5"/>
    <x v="2"/>
    <n v="95.5"/>
    <n v="134"/>
  </r>
  <r>
    <n v="106"/>
    <n v="159"/>
    <x v="0"/>
    <n v="98.5"/>
    <n v="137"/>
  </r>
  <r>
    <n v="109"/>
    <n v="163.5"/>
    <x v="2"/>
    <n v="104.5"/>
    <n v="140"/>
  </r>
  <r>
    <n v="101"/>
    <n v="145"/>
    <x v="0"/>
    <n v="92"/>
    <n v="130"/>
  </r>
  <r>
    <n v="109.5"/>
    <n v="167"/>
    <x v="1"/>
    <n v="100"/>
    <n v="145.5"/>
  </r>
  <r>
    <n v="104"/>
    <n v="152.5"/>
    <x v="1"/>
    <n v="95.5"/>
    <n v="126"/>
  </r>
  <r>
    <n v="103.5"/>
    <n v="152.5"/>
    <x v="1"/>
    <n v="99"/>
    <n v="146.5"/>
  </r>
  <r>
    <n v="108"/>
    <n v="154"/>
    <x v="0"/>
    <n v="100.5"/>
    <n v="140"/>
  </r>
  <r>
    <n v="103"/>
    <n v="162"/>
    <x v="0"/>
    <n v="100.5"/>
    <n v="140.5"/>
  </r>
  <r>
    <n v="104"/>
    <n v="157.5"/>
    <x v="3"/>
    <n v="100.5"/>
    <n v="138"/>
  </r>
  <r>
    <n v="104.5"/>
    <n v="159"/>
    <x v="3"/>
    <n v="99.5"/>
    <n v="133.5"/>
  </r>
  <r>
    <n v="101"/>
    <n v="154.5"/>
    <x v="1"/>
    <n v="97"/>
    <n v="137"/>
  </r>
  <r>
    <n v="105.5"/>
    <n v="151"/>
    <x v="1"/>
    <n v="93"/>
    <n v="133.5"/>
  </r>
  <r>
    <n v="105.5"/>
    <n v="166"/>
    <x v="2"/>
    <n v="99.5"/>
    <n v="142"/>
  </r>
  <r>
    <n v="105"/>
    <n v="157"/>
    <x v="0"/>
    <n v="100.5"/>
    <n v="138.5"/>
  </r>
  <r>
    <n v="106"/>
    <n v="158.5"/>
    <x v="2"/>
    <n v="95.5"/>
    <n v="140.5"/>
  </r>
  <r>
    <n v="104.5"/>
    <n v="156.5"/>
    <x v="3"/>
    <n v="98.5"/>
    <n v="131"/>
  </r>
  <r>
    <n v="102"/>
    <n v="155"/>
    <x v="0"/>
    <n v="99"/>
    <n v="135"/>
  </r>
  <r>
    <n v="102.5"/>
    <n v="158"/>
    <x v="2"/>
    <n v="95.5"/>
    <n v="133.5"/>
  </r>
  <r>
    <n v="98"/>
    <n v="153"/>
    <x v="3"/>
    <n v="91.5"/>
    <n v="131.5"/>
  </r>
  <r>
    <n v="109.5"/>
    <n v="164"/>
    <x v="2"/>
    <n v="102"/>
    <n v="143"/>
  </r>
  <r>
    <n v="105"/>
    <n v="151"/>
    <x v="3"/>
    <n v="99"/>
    <n v="141.5"/>
  </r>
  <r>
    <n v="106.5"/>
    <n v="155.5"/>
    <x v="0"/>
    <n v="100.5"/>
    <n v="138.5"/>
  </r>
  <r>
    <n v="102.5"/>
    <n v="156.5"/>
    <x v="2"/>
    <n v="96.5"/>
    <n v="134.5"/>
  </r>
  <r>
    <n v="105.5"/>
    <n v="158.5"/>
    <x v="2"/>
    <n v="94"/>
    <n v="136"/>
  </r>
  <r>
    <n v="95.5"/>
    <n v="147"/>
    <x v="2"/>
    <n v="86.5"/>
    <n v="124.5"/>
  </r>
  <r>
    <n v="102.5"/>
    <n v="156.5"/>
    <x v="0"/>
    <n v="96"/>
    <n v="137.5"/>
  </r>
  <r>
    <n v="102.5"/>
    <n v="147"/>
    <x v="0"/>
    <n v="91"/>
    <n v="133"/>
  </r>
  <r>
    <n v="106"/>
    <n v="148"/>
    <x v="3"/>
    <n v="93.5"/>
    <n v="135"/>
  </r>
  <r>
    <n v="97.5"/>
    <n v="151.5"/>
    <x v="3"/>
    <n v="88.5"/>
    <n v="132"/>
  </r>
  <r>
    <n v="102"/>
    <n v="155"/>
    <x v="1"/>
    <n v="91.5"/>
    <n v="137"/>
  </r>
  <r>
    <n v="103"/>
    <n v="159"/>
    <x v="3"/>
    <n v="94.5"/>
    <n v="133"/>
  </r>
  <r>
    <n v="104.5"/>
    <n v="154"/>
    <x v="1"/>
    <n v="96"/>
    <n v="132.5"/>
  </r>
  <r>
    <n v="112"/>
    <n v="157.5"/>
    <x v="0"/>
    <n v="97"/>
    <n v="137.5"/>
  </r>
  <r>
    <n v="104"/>
    <n v="153"/>
    <x v="0"/>
    <n v="101.5"/>
    <n v="143"/>
  </r>
  <r>
    <n v="104"/>
    <n v="147"/>
    <x v="2"/>
    <n v="93.5"/>
    <n v="129"/>
  </r>
  <r>
    <n v="100.5"/>
    <n v="148"/>
    <x v="0"/>
    <n v="97.5"/>
    <n v="132"/>
  </r>
  <r>
    <n v="103"/>
    <n v="152.5"/>
    <x v="0"/>
    <n v="99.5"/>
    <n v="139"/>
  </r>
  <r>
    <n v="101.5"/>
    <n v="152"/>
    <x v="0"/>
    <n v="99.5"/>
    <n v="142.5"/>
  </r>
  <r>
    <n v="108.5"/>
    <n v="155.5"/>
    <x v="0"/>
    <n v="99"/>
    <n v="142"/>
  </r>
  <r>
    <n v="100.5"/>
    <n v="142"/>
    <x v="2"/>
    <n v="92"/>
    <n v="127"/>
  </r>
  <r>
    <n v="101"/>
    <n v="156.5"/>
    <x v="1"/>
    <n v="97"/>
    <n v="143.5"/>
  </r>
  <r>
    <n v="111.5"/>
    <n v="161.5"/>
    <x v="0"/>
    <n v="101"/>
    <n v="143.5"/>
  </r>
  <r>
    <n v="95"/>
    <n v="150.5"/>
    <x v="0"/>
    <n v="89.5"/>
    <n v="136"/>
  </r>
  <r>
    <n v="101.5"/>
    <n v="152"/>
    <x v="0"/>
    <n v="96.5"/>
    <n v="133"/>
  </r>
  <r>
    <n v="103.5"/>
    <n v="151.5"/>
    <x v="2"/>
    <n v="91.5"/>
    <n v="130.5"/>
  </r>
  <r>
    <n v="101"/>
    <n v="149.5"/>
    <x v="3"/>
    <n v="95"/>
    <n v="132.5"/>
  </r>
  <r>
    <n v="105.5"/>
    <n v="151"/>
    <x v="0"/>
    <n v="95.5"/>
    <n v="141"/>
  </r>
  <r>
    <n v="97"/>
    <n v="152.5"/>
    <x v="0"/>
    <n v="93.5"/>
    <n v="133.5"/>
  </r>
  <r>
    <n v="96.5"/>
    <n v="148"/>
    <x v="1"/>
    <n v="95"/>
    <n v="131"/>
  </r>
  <r>
    <n v="99"/>
    <n v="149"/>
    <x v="3"/>
    <n v="93"/>
    <n v="134"/>
  </r>
  <r>
    <n v="103.5"/>
    <n v="159.5"/>
    <x v="2"/>
    <n v="96.5"/>
    <n v="150"/>
  </r>
  <r>
    <n v="100"/>
    <n v="152"/>
    <x v="0"/>
    <n v="100"/>
    <n v="132.5"/>
  </r>
  <r>
    <n v="100"/>
    <n v="157.5"/>
    <x v="3"/>
    <n v="89.5"/>
    <n v="132.5"/>
  </r>
  <r>
    <n v="98"/>
    <n v="149"/>
    <x v="0"/>
    <n v="99"/>
    <n v="143"/>
  </r>
  <r>
    <n v="101"/>
    <n v="151"/>
    <x v="0"/>
    <n v="94.5"/>
    <n v="137.5"/>
  </r>
  <r>
    <n v="101"/>
    <n v="150.5"/>
    <x v="2"/>
    <n v="92"/>
    <n v="126.5"/>
  </r>
  <r>
    <n v="103.5"/>
    <n v="146.5"/>
    <x v="0"/>
    <n v="94"/>
    <n v="136"/>
  </r>
  <r>
    <n v="103"/>
    <n v="149"/>
    <x v="0"/>
    <n v="101.5"/>
    <n v="140.5"/>
  </r>
  <r>
    <n v="98.5"/>
    <n v="149.5"/>
    <x v="0"/>
    <n v="92"/>
    <n v="134.5"/>
  </r>
  <r>
    <n v="104"/>
    <n v="159"/>
    <x v="0"/>
    <n v="97.5"/>
    <n v="137.5"/>
  </r>
  <r>
    <n v="98.5"/>
    <n v="141"/>
    <x v="2"/>
    <n v="92"/>
    <n v="124"/>
  </r>
  <r>
    <n v="98.5"/>
    <n v="153"/>
    <x v="1"/>
    <n v="93.5"/>
    <n v="126.5"/>
  </r>
  <r>
    <n v="100.5"/>
    <n v="155"/>
    <x v="3"/>
    <n v="89.5"/>
    <n v="130.5"/>
  </r>
  <r>
    <n v="100"/>
    <n v="148.5"/>
    <x v="0"/>
    <n v="100.5"/>
    <n v="139.5"/>
  </r>
  <r>
    <n v="98"/>
    <n v="146"/>
    <x v="1"/>
    <n v="89"/>
    <n v="128.5"/>
  </r>
  <r>
    <n v="96.5"/>
    <n v="144"/>
    <x v="3"/>
    <n v="96"/>
    <n v="132"/>
  </r>
  <r>
    <n v="99.5"/>
    <n v="152"/>
    <x v="0"/>
    <n v="95"/>
    <n v="133.5"/>
  </r>
  <r>
    <n v="99"/>
    <n v="148.5"/>
    <x v="0"/>
    <n v="96"/>
    <n v="139"/>
  </r>
  <r>
    <n v="104"/>
    <n v="148"/>
    <x v="3"/>
    <n v="92"/>
    <n v="123"/>
  </r>
  <r>
    <n v="101"/>
    <n v="155"/>
    <x v="2"/>
    <n v="93"/>
    <n v="132"/>
  </r>
  <r>
    <n v="100.5"/>
    <n v="145"/>
    <x v="3"/>
    <n v="89"/>
    <n v="129.5"/>
  </r>
  <r>
    <n v="100"/>
    <n v="150"/>
    <x v="0"/>
    <n v="95"/>
    <n v="134.5"/>
  </r>
  <r>
    <n v="99"/>
    <n v="145"/>
    <x v="2"/>
    <n v="93"/>
    <n v="131"/>
  </r>
  <r>
    <n v="104"/>
    <n v="150.5"/>
    <x v="0"/>
    <n v="95"/>
    <n v="139.5"/>
  </r>
  <r>
    <n v="103"/>
    <n v="159"/>
    <x v="1"/>
    <n v="93.5"/>
    <n v="134.5"/>
  </r>
  <r>
    <n v="102.5"/>
    <n v="149"/>
    <x v="3"/>
    <n v="94"/>
    <n v="131.5"/>
  </r>
  <r>
    <n v="95.5"/>
    <n v="145.5"/>
    <x v="0"/>
    <n v="93"/>
    <n v="138.5"/>
  </r>
  <r>
    <n v="97.5"/>
    <n v="151"/>
    <x v="3"/>
    <n v="92"/>
    <n v="133"/>
  </r>
  <r>
    <n v="97.5"/>
    <n v="149.5"/>
    <x v="0"/>
    <n v="99.5"/>
    <n v="131"/>
  </r>
  <r>
    <n v="96"/>
    <n v="150"/>
    <x v="3"/>
    <n v="93.5"/>
    <n v="134.5"/>
  </r>
  <r>
    <n v="104.5"/>
    <n v="153.5"/>
    <x v="0"/>
    <n v="101"/>
    <n v="132"/>
  </r>
  <r>
    <n v="95.5"/>
    <n v="147.5"/>
    <x v="0"/>
    <n v="97.5"/>
    <n v="127"/>
  </r>
  <r>
    <n v="92.5"/>
    <n v="147.5"/>
    <x v="0"/>
    <n v="93.5"/>
    <n v="133.5"/>
  </r>
  <r>
    <n v="102.5"/>
    <n v="150"/>
    <x v="0"/>
    <n v="93.5"/>
    <n v="139.5"/>
  </r>
  <r>
    <n v="102"/>
    <n v="152"/>
    <x v="3"/>
    <n v="93.5"/>
    <n v="132"/>
  </r>
  <r>
    <n v="91"/>
    <n v="143"/>
    <x v="0"/>
    <n v="90.5"/>
    <n v="128.5"/>
  </r>
  <r>
    <n v="95.5"/>
    <n v="145.5"/>
    <x v="2"/>
    <n v="92"/>
    <n v="131"/>
  </r>
  <r>
    <n v="98.5"/>
    <n v="148.5"/>
    <x v="0"/>
    <n v="89.5"/>
    <n v="130"/>
  </r>
  <r>
    <n v="100"/>
    <n v="151.5"/>
    <x v="1"/>
    <n v="87.5"/>
    <n v="120"/>
  </r>
  <r>
    <n v="91.5"/>
    <n v="142"/>
    <x v="0"/>
    <n v="87.5"/>
    <n v="125"/>
  </r>
  <r>
    <n v="96.5"/>
    <n v="149"/>
    <x v="1"/>
    <n v="88.5"/>
    <n v="130.5"/>
  </r>
  <r>
    <n v="102"/>
    <n v="153"/>
    <x v="0"/>
    <n v="95.5"/>
    <n v="136"/>
  </r>
  <r>
    <n v="96"/>
    <n v="146.5"/>
    <x v="0"/>
    <n v="96.5"/>
    <n v="132.5"/>
  </r>
  <r>
    <n v="96.5"/>
    <n v="151.5"/>
    <x v="1"/>
    <n v="92.5"/>
    <n v="124"/>
  </r>
  <r>
    <n v="96"/>
    <n v="149"/>
    <x v="0"/>
    <n v="94.5"/>
    <n v="128"/>
  </r>
  <r>
    <n v="91.5"/>
    <n v="141.5"/>
    <x v="2"/>
    <n v="93"/>
    <n v="124"/>
  </r>
  <r>
    <n v="95"/>
    <n v="148.5"/>
    <x v="0"/>
    <n v="89"/>
    <n v="131.5"/>
  </r>
  <r>
    <n v="101"/>
    <n v="143.5"/>
    <x v="1"/>
    <n v="90.5"/>
    <n v="129.5"/>
  </r>
  <r>
    <n v="90"/>
    <n v="147.5"/>
    <x v="0"/>
    <n v="92"/>
    <n v="132"/>
  </r>
  <r>
    <n v="95"/>
    <n v="140.5"/>
    <x v="0"/>
    <n v="92"/>
    <n v="136"/>
  </r>
  <r>
    <n v="94.5"/>
    <n v="143"/>
    <x v="0"/>
    <n v="91"/>
    <n v="124.5"/>
  </r>
  <r>
    <n v="100"/>
    <n v="147"/>
    <x v="2"/>
    <n v="88"/>
    <n v="120.5"/>
  </r>
  <r>
    <n v="97"/>
    <n v="144"/>
    <x v="0"/>
    <n v="92"/>
    <n v="129.5"/>
  </r>
  <r>
    <n v="96"/>
    <n v="147"/>
    <x v="0"/>
    <n v="94"/>
    <n v="133.5"/>
  </r>
  <r>
    <n v="94"/>
    <n v="143"/>
    <x v="0"/>
    <n v="93"/>
    <n v="127.5"/>
  </r>
  <r>
    <n v="91"/>
    <n v="143.5"/>
    <x v="0"/>
    <n v="90"/>
    <n v="123"/>
  </r>
  <r>
    <n v="95"/>
    <n v="146.5"/>
    <x v="1"/>
    <n v="84"/>
    <n v="124"/>
  </r>
  <r>
    <n v="96.5"/>
    <n v="140"/>
    <x v="0"/>
    <n v="92"/>
    <n v="124"/>
  </r>
  <r>
    <n v="92"/>
    <n v="139.5"/>
    <x v="0"/>
    <n v="85.5"/>
    <n v="120.5"/>
  </r>
  <r>
    <n v="89"/>
    <n v="136"/>
    <x v="0"/>
    <n v="89"/>
    <n v="127"/>
  </r>
  <r>
    <n v="96"/>
    <n v="147.5"/>
    <x v="0"/>
    <n v="93"/>
    <n v="129"/>
  </r>
  <r>
    <n v="91.5"/>
    <n v="141.5"/>
    <x v="0"/>
    <n v="88.5"/>
    <n v="128.5"/>
  </r>
  <r>
    <n v="94.5"/>
    <n v="146"/>
    <x v="3"/>
    <n v="93"/>
    <n v="128"/>
  </r>
  <r>
    <n v="92"/>
    <n v="136"/>
    <x v="1"/>
    <n v="83"/>
    <n v="128.5"/>
  </r>
  <r>
    <n v="93"/>
    <n v="138.5"/>
    <x v="0"/>
    <n v="89"/>
    <n v="133.5"/>
  </r>
  <r>
    <n v="92.5"/>
    <n v="148.5"/>
    <x v="0"/>
    <n v="90"/>
    <n v="12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878258-98E1-4543-9E56-38BBBE65491E}" name="treat (ti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eat">
  <location ref="I6:P11" firstHeaderRow="0" firstDataRow="1" firstDataCol="1"/>
  <pivotFields count="4">
    <pivotField showAll="0"/>
    <pivotField dataField="1" showAll="0"/>
    <pivotField showAll="0"/>
    <pivotField axis="axisRow" showAll="0">
      <items count="5">
        <item x="0"/>
        <item x="1"/>
        <item x="2"/>
        <item x="3"/>
        <item t="default"/>
      </items>
    </pivotField>
  </pivotFields>
  <rowFields count="1">
    <field x="3"/>
  </rowFields>
  <rowItems count="5">
    <i>
      <x/>
    </i>
    <i>
      <x v="1"/>
    </i>
    <i>
      <x v="2"/>
    </i>
    <i>
      <x v="3"/>
    </i>
    <i t="grand">
      <x/>
    </i>
  </rowItems>
  <colFields count="1">
    <field x="-2"/>
  </colFields>
  <colItems count="7">
    <i>
      <x/>
    </i>
    <i i="1">
      <x v="1"/>
    </i>
    <i i="2">
      <x v="2"/>
    </i>
    <i i="3">
      <x v="3"/>
    </i>
    <i i="4">
      <x v="4"/>
    </i>
    <i i="5">
      <x v="5"/>
    </i>
    <i i="6">
      <x v="6"/>
    </i>
  </colItems>
  <dataFields count="7">
    <dataField name="Mean" fld="1" subtotal="average" baseField="3" baseItem="0"/>
    <dataField name="Standard Deviation" fld="1" subtotal="stdDev" baseField="3" baseItem="0"/>
    <dataField name="Sample Variance" fld="1" subtotal="var" baseField="3" baseItem="0"/>
    <dataField name="Minimum" fld="1" subtotal="min" baseField="3" baseItem="0"/>
    <dataField name="Maximum" fld="1" subtotal="max" baseField="3" baseItem="0"/>
    <dataField name="Sum" fld="1" baseField="3" baseItem="0"/>
    <dataField name="Count" fld="1" subtotal="count" baseField="3" baseItem="0"/>
  </dataFields>
  <formats count="8">
    <format dxfId="124">
      <pivotArea field="3" type="button" dataOnly="0" labelOnly="1" outline="0" axis="axisRow" fieldPosition="0"/>
    </format>
    <format dxfId="123">
      <pivotArea field="3" type="button" dataOnly="0" labelOnly="1" outline="0" axis="axisRow" fieldPosition="0"/>
    </format>
    <format dxfId="33">
      <pivotArea type="all" dataOnly="0" outline="0" fieldPosition="0"/>
    </format>
    <format dxfId="32">
      <pivotArea outline="0" collapsedLevelsAreSubtotals="1" fieldPosition="0"/>
    </format>
    <format dxfId="31">
      <pivotArea field="3" type="button" dataOnly="0" labelOnly="1" outline="0" axis="axisRow" fieldPosition="0"/>
    </format>
    <format dxfId="30">
      <pivotArea dataOnly="0" labelOnly="1" fieldPosition="0">
        <references count="1">
          <reference field="3" count="0"/>
        </references>
      </pivotArea>
    </format>
    <format dxfId="29">
      <pivotArea dataOnly="0" labelOnly="1" grandRow="1" outline="0" fieldPosition="0"/>
    </format>
    <format dxfId="28">
      <pivotArea dataOnly="0" labelOnly="1" outline="0" fieldPosition="0">
        <references count="1">
          <reference field="4294967294" count="7">
            <x v="0"/>
            <x v="1"/>
            <x v="2"/>
            <x v="3"/>
            <x v="4"/>
            <x v="5"/>
            <x v="6"/>
          </reference>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087928-0DEF-439A-BF49-DB0737B2ECD5}" name="treatment and poison group mean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reatment" colHeaderCaption="Poison">
  <location ref="F22:J28" firstHeaderRow="1" firstDataRow="2" firstDataCol="1"/>
  <pivotFields count="4">
    <pivotField showAll="0"/>
    <pivotField dataField="1" showAll="0"/>
    <pivotField axis="axisCol" showAll="0">
      <items count="4">
        <item x="0"/>
        <item x="1"/>
        <item x="2"/>
        <item t="default"/>
      </items>
    </pivotField>
    <pivotField axis="axisRow" showAll="0">
      <items count="5">
        <item x="0"/>
        <item x="1"/>
        <item x="2"/>
        <item x="3"/>
        <item t="default"/>
      </items>
    </pivotField>
  </pivotFields>
  <rowFields count="1">
    <field x="3"/>
  </rowFields>
  <rowItems count="5">
    <i>
      <x/>
    </i>
    <i>
      <x v="1"/>
    </i>
    <i>
      <x v="2"/>
    </i>
    <i>
      <x v="3"/>
    </i>
    <i t="grand">
      <x/>
    </i>
  </rowItems>
  <colFields count="1">
    <field x="2"/>
  </colFields>
  <colItems count="4">
    <i>
      <x/>
    </i>
    <i>
      <x v="1"/>
    </i>
    <i>
      <x v="2"/>
    </i>
    <i t="grand">
      <x/>
    </i>
  </colItems>
  <dataFields count="1">
    <dataField name="Average of Time" fld="1" subtotal="average" baseField="3" baseItem="0"/>
  </dataFields>
  <formats count="10">
    <format dxfId="27">
      <pivotArea type="all" dataOnly="0" outline="0" fieldPosition="0"/>
    </format>
    <format dxfId="26">
      <pivotArea outline="0" collapsedLevelsAreSubtotals="1" fieldPosition="0"/>
    </format>
    <format dxfId="25">
      <pivotArea type="origin" dataOnly="0" labelOnly="1" outline="0" fieldPosition="0"/>
    </format>
    <format dxfId="24">
      <pivotArea field="2" type="button" dataOnly="0" labelOnly="1" outline="0" axis="axisCol" fieldPosition="0"/>
    </format>
    <format dxfId="23">
      <pivotArea type="topRight" dataOnly="0" labelOnly="1" outline="0" fieldPosition="0"/>
    </format>
    <format dxfId="22">
      <pivotArea field="3" type="button" dataOnly="0" labelOnly="1" outline="0" axis="axisRow" fieldPosition="0"/>
    </format>
    <format dxfId="21">
      <pivotArea dataOnly="0" labelOnly="1" fieldPosition="0">
        <references count="1">
          <reference field="3" count="0"/>
        </references>
      </pivotArea>
    </format>
    <format dxfId="20">
      <pivotArea dataOnly="0" labelOnly="1" grandRow="1" outline="0" fieldPosition="0"/>
    </format>
    <format dxfId="19">
      <pivotArea dataOnly="0" labelOnly="1" fieldPosition="0">
        <references count="1">
          <reference field="2" count="0"/>
        </references>
      </pivotArea>
    </format>
    <format dxfId="18">
      <pivotArea dataOnly="0" labelOnly="1" grandCol="1" outline="0" fieldPosition="0"/>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E495EC-10EB-4778-91D3-7CE6581E2ED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oison">
  <location ref="R22:S26" firstHeaderRow="1" firstDataRow="1" firstDataCol="1"/>
  <pivotFields count="4">
    <pivotField showAll="0"/>
    <pivotField dataField="1" showAll="0"/>
    <pivotField axis="axisRow" showAll="0">
      <items count="4">
        <item x="0"/>
        <item x="1"/>
        <item x="2"/>
        <item t="default"/>
      </items>
    </pivotField>
    <pivotField showAll="0"/>
  </pivotFields>
  <rowFields count="1">
    <field x="2"/>
  </rowFields>
  <rowItems count="4">
    <i>
      <x/>
    </i>
    <i>
      <x v="1"/>
    </i>
    <i>
      <x v="2"/>
    </i>
    <i t="grand">
      <x/>
    </i>
  </rowItems>
  <colItems count="1">
    <i/>
  </colItems>
  <dataFields count="1">
    <dataField name="Mean Time" fld="1" subtotal="average" baseField="2" baseItem="0"/>
  </dataFields>
  <formats count="9">
    <format dxfId="127">
      <pivotArea field="2" type="button" dataOnly="0" labelOnly="1" outline="0" axis="axisRow" fieldPosition="0"/>
    </format>
    <format dxfId="126">
      <pivotArea dataOnly="0" labelOnly="1" outline="0" axis="axisValues" fieldPosition="0"/>
    </format>
    <format dxfId="125">
      <pivotArea field="2" type="button" dataOnly="0" labelOnly="1" outline="0" axis="axisRow" fieldPosition="0"/>
    </format>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B0FCA9-86E6-4CC6-ADFB-CF5A745BB63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treat">
  <location ref="R5:S10" firstHeaderRow="1" firstDataRow="1" firstDataCol="1"/>
  <pivotFields count="4">
    <pivotField showAll="0"/>
    <pivotField dataField="1" showAll="0"/>
    <pivotField showAll="0"/>
    <pivotField axis="axisRow" showAll="0">
      <items count="5">
        <item x="0"/>
        <item x="1"/>
        <item x="2"/>
        <item x="3"/>
        <item t="default"/>
      </items>
    </pivotField>
  </pivotFields>
  <rowFields count="1">
    <field x="3"/>
  </rowFields>
  <rowItems count="5">
    <i>
      <x/>
    </i>
    <i>
      <x v="1"/>
    </i>
    <i>
      <x v="2"/>
    </i>
    <i>
      <x v="3"/>
    </i>
    <i t="grand">
      <x/>
    </i>
  </rowItems>
  <colItems count="1">
    <i/>
  </colItems>
  <dataFields count="1">
    <dataField name="Mean Time" fld="1" subtotal="average" baseField="3" baseItem="0"/>
  </dataFields>
  <formats count="9">
    <format dxfId="130">
      <pivotArea field="3" type="button" dataOnly="0" labelOnly="1" outline="0" axis="axisRow" fieldPosition="0"/>
    </format>
    <format dxfId="129">
      <pivotArea dataOnly="0" labelOnly="1" outline="0" axis="axisValues" fieldPosition="0"/>
    </format>
    <format dxfId="128">
      <pivotArea field="3" type="button" dataOnly="0" labelOnly="1" outline="0" axis="axisRow" fieldPosition="0"/>
    </format>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B41807-F9C4-4B41-AA62-A76C005BCC4E}" name="poison (ti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oison">
  <location ref="I14:P18" firstHeaderRow="0" firstDataRow="1" firstDataCol="1"/>
  <pivotFields count="4">
    <pivotField showAll="0"/>
    <pivotField dataField="1" showAll="0"/>
    <pivotField axis="axisRow" showAll="0">
      <items count="4">
        <item x="0"/>
        <item x="1"/>
        <item x="2"/>
        <item t="default"/>
      </items>
    </pivotField>
    <pivotField showAll="0">
      <items count="5">
        <item x="0"/>
        <item x="1"/>
        <item x="2"/>
        <item x="3"/>
        <item t="default"/>
      </items>
    </pivotField>
  </pivotFields>
  <rowFields count="1">
    <field x="2"/>
  </rowFields>
  <rowItems count="4">
    <i>
      <x/>
    </i>
    <i>
      <x v="1"/>
    </i>
    <i>
      <x v="2"/>
    </i>
    <i t="grand">
      <x/>
    </i>
  </rowItems>
  <colFields count="1">
    <field x="-2"/>
  </colFields>
  <colItems count="7">
    <i>
      <x/>
    </i>
    <i i="1">
      <x v="1"/>
    </i>
    <i i="2">
      <x v="2"/>
    </i>
    <i i="3">
      <x v="3"/>
    </i>
    <i i="4">
      <x v="4"/>
    </i>
    <i i="5">
      <x v="5"/>
    </i>
    <i i="6">
      <x v="6"/>
    </i>
  </colItems>
  <dataFields count="7">
    <dataField name="Mean" fld="1" subtotal="average" baseField="2" baseItem="0"/>
    <dataField name="Standard Deviation" fld="1" subtotal="stdDev" baseField="2" baseItem="0"/>
    <dataField name="Sample Variance" fld="1" subtotal="var" baseField="2" baseItem="0"/>
    <dataField name="Minimum" fld="1" subtotal="min" baseField="2" baseItem="0"/>
    <dataField name="Maximum" fld="1" subtotal="max" baseField="2" baseItem="0"/>
    <dataField name="Sum" fld="1" baseField="2" baseItem="0"/>
    <dataField name="Count" fld="1" subtotal="count" baseField="2" baseItem="0"/>
  </dataFields>
  <formats count="7">
    <format dxfId="131">
      <pivotArea field="2" type="button" dataOnly="0" labelOnly="1" outline="0" axis="axisRow"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fieldPosition="0">
        <references count="1">
          <reference field="4294967294" count="7">
            <x v="0"/>
            <x v="1"/>
            <x v="2"/>
            <x v="3"/>
            <x v="4"/>
            <x v="5"/>
            <x v="6"/>
          </reference>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8105CA-21F2-4657-9EB1-2040D73CF268}" name="treatment (postdia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stdias">
  <location ref="K36:R41" firstHeaderRow="0" firstDataRow="1" firstDataCol="1"/>
  <pivotFields count="6">
    <pivotField showAll="0"/>
    <pivotField showAll="0"/>
    <pivotField axis="axisRow" showAll="0">
      <items count="5">
        <item x="2"/>
        <item x="0"/>
        <item x="1"/>
        <item x="3"/>
        <item t="default"/>
      </items>
    </pivotField>
    <pivotField dataField="1" showAll="0"/>
    <pivotField showAll="0"/>
    <pivotField dragToRow="0" dragToCol="0" dragToPage="0" showAll="0" defaultSubtotal="0"/>
  </pivotFields>
  <rowFields count="1">
    <field x="2"/>
  </rowFields>
  <rowItems count="5">
    <i>
      <x/>
    </i>
    <i>
      <x v="1"/>
    </i>
    <i>
      <x v="2"/>
    </i>
    <i>
      <x v="3"/>
    </i>
    <i t="grand">
      <x/>
    </i>
  </rowItems>
  <colFields count="1">
    <field x="-2"/>
  </colFields>
  <colItems count="7">
    <i>
      <x/>
    </i>
    <i i="1">
      <x v="1"/>
    </i>
    <i i="2">
      <x v="2"/>
    </i>
    <i i="3">
      <x v="3"/>
    </i>
    <i i="4">
      <x v="4"/>
    </i>
    <i i="5">
      <x v="5"/>
    </i>
    <i i="6">
      <x v="6"/>
    </i>
  </colItems>
  <dataFields count="7">
    <dataField name="Mean" fld="3" subtotal="average" baseField="2" baseItem="0"/>
    <dataField name="Standard Deviation" fld="3" subtotal="stdDev" baseField="2" baseItem="0"/>
    <dataField name="Sample Variance" fld="3" subtotal="var" baseField="2" baseItem="0"/>
    <dataField name="Minimum" fld="3" subtotal="min" baseField="2" baseItem="0"/>
    <dataField name="Maximum" fld="3" subtotal="max" baseField="2" baseItem="0"/>
    <dataField name="Sum" fld="3" baseField="2" baseItem="0"/>
    <dataField name="Count" fld="3" subtotal="count" baseField="2" baseItem="0"/>
  </dataFields>
  <formats count="24">
    <format dxfId="68">
      <pivotArea field="2" type="button" dataOnly="0" labelOnly="1" outline="0" axis="axisRow" fieldPosition="0"/>
    </format>
    <format dxfId="67">
      <pivotArea field="2" type="button" dataOnly="0" labelOnly="1" outline="0" axis="axisRow" fieldPosition="0"/>
    </format>
    <format dxfId="66">
      <pivotArea type="all" dataOnly="0" outline="0" fieldPosition="0"/>
    </format>
    <format dxfId="65">
      <pivotArea outline="0" collapsedLevelsAreSubtotals="1" fieldPosition="0"/>
    </format>
    <format dxfId="64">
      <pivotArea field="2" type="button" dataOnly="0" labelOnly="1" outline="0" axis="axisRow" fieldPosition="0"/>
    </format>
    <format dxfId="63">
      <pivotArea dataOnly="0" labelOnly="1" fieldPosition="0">
        <references count="1">
          <reference field="2" count="0"/>
        </references>
      </pivotArea>
    </format>
    <format dxfId="62">
      <pivotArea dataOnly="0" labelOnly="1" grandRow="1" outline="0" fieldPosition="0"/>
    </format>
    <format dxfId="61">
      <pivotArea dataOnly="0" labelOnly="1" outline="0" fieldPosition="0">
        <references count="1">
          <reference field="4294967294" count="7">
            <x v="0"/>
            <x v="1"/>
            <x v="2"/>
            <x v="3"/>
            <x v="4"/>
            <x v="5"/>
            <x v="6"/>
          </reference>
        </references>
      </pivotArea>
    </format>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fieldPosition="0">
        <references count="1">
          <reference field="2" count="0"/>
        </references>
      </pivotArea>
    </format>
    <format dxfId="56">
      <pivotArea dataOnly="0" labelOnly="1" grandRow="1" outline="0" fieldPosition="0"/>
    </format>
    <format dxfId="55">
      <pivotArea dataOnly="0" labelOnly="1" outline="0" fieldPosition="0">
        <references count="1">
          <reference field="4294967294" count="7">
            <x v="0"/>
            <x v="1"/>
            <x v="2"/>
            <x v="3"/>
            <x v="4"/>
            <x v="5"/>
            <x v="6"/>
          </reference>
        </references>
      </pivotArea>
    </format>
    <format dxfId="54">
      <pivotArea field="2" type="button" dataOnly="0" labelOnly="1" outline="0" axis="axisRow" fieldPosition="0"/>
    </format>
    <format dxfId="53">
      <pivotArea dataOnly="0" labelOnly="1" outline="0" fieldPosition="0">
        <references count="1">
          <reference field="4294967294" count="7">
            <x v="0"/>
            <x v="1"/>
            <x v="2"/>
            <x v="3"/>
            <x v="4"/>
            <x v="5"/>
            <x v="6"/>
          </reference>
        </references>
      </pivotArea>
    </format>
    <format dxfId="52">
      <pivotArea outline="0" collapsedLevelsAreSubtotals="1" fieldPosition="0">
        <references count="1">
          <reference field="4294967294" count="6" selected="0">
            <x v="1"/>
            <x v="2"/>
            <x v="3"/>
            <x v="4"/>
            <x v="5"/>
            <x v="6"/>
          </reference>
        </references>
      </pivotArea>
    </format>
    <format dxfId="51">
      <pivotArea dataOnly="0" labelOnly="1" outline="0" fieldPosition="0">
        <references count="1">
          <reference field="4294967294" count="6">
            <x v="1"/>
            <x v="2"/>
            <x v="3"/>
            <x v="4"/>
            <x v="5"/>
            <x v="6"/>
          </reference>
        </references>
      </pivotArea>
    </format>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outline="0" fieldPosition="0">
        <references count="1">
          <reference field="4294967294" count="7">
            <x v="0"/>
            <x v="1"/>
            <x v="2"/>
            <x v="3"/>
            <x v="4"/>
            <x v="5"/>
            <x v="6"/>
          </reference>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826319-1EED-4A60-A228-AC9C85F34FB6}" name="treatment (presy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esys">
  <location ref="K28:R33" firstHeaderRow="0" firstDataRow="1" firstDataCol="1"/>
  <pivotFields count="6">
    <pivotField showAll="0"/>
    <pivotField dataField="1" showAll="0"/>
    <pivotField axis="axisRow" showAll="0">
      <items count="5">
        <item x="2"/>
        <item x="0"/>
        <item x="1"/>
        <item x="3"/>
        <item t="default"/>
      </items>
    </pivotField>
    <pivotField showAll="0"/>
    <pivotField showAll="0"/>
    <pivotField dragToRow="0" dragToCol="0" dragToPage="0" showAll="0" defaultSubtotal="0"/>
  </pivotFields>
  <rowFields count="1">
    <field x="2"/>
  </rowFields>
  <rowItems count="5">
    <i>
      <x/>
    </i>
    <i>
      <x v="1"/>
    </i>
    <i>
      <x v="2"/>
    </i>
    <i>
      <x v="3"/>
    </i>
    <i t="grand">
      <x/>
    </i>
  </rowItems>
  <colFields count="1">
    <field x="-2"/>
  </colFields>
  <colItems count="7">
    <i>
      <x/>
    </i>
    <i i="1">
      <x v="1"/>
    </i>
    <i i="2">
      <x v="2"/>
    </i>
    <i i="3">
      <x v="3"/>
    </i>
    <i i="4">
      <x v="4"/>
    </i>
    <i i="5">
      <x v="5"/>
    </i>
    <i i="6">
      <x v="6"/>
    </i>
  </colItems>
  <dataFields count="7">
    <dataField name="Mean" fld="1" subtotal="average" baseField="2" baseItem="0"/>
    <dataField name="Standard Deviation" fld="1" subtotal="stdDev" baseField="2" baseItem="0"/>
    <dataField name="Sample Variance" fld="1" subtotal="var" baseField="2" baseItem="0"/>
    <dataField name="Minimum" fld="1" subtotal="min" baseField="2" baseItem="0"/>
    <dataField name="Maximum" fld="1" subtotal="max" baseField="2" baseItem="0"/>
    <dataField name="Sum" fld="1" baseField="2" baseItem="0"/>
    <dataField name="Count" fld="1" subtotal="count" baseField="2" baseItem="0"/>
  </dataFields>
  <formats count="14">
    <format dxfId="82">
      <pivotArea field="2" type="button" dataOnly="0" labelOnly="1" outline="0" axis="axisRow" fieldPosition="0"/>
    </format>
    <format dxfId="81">
      <pivotArea field="2" type="button" dataOnly="0" labelOnly="1" outline="0" axis="axisRow" fieldPosition="0"/>
    </format>
    <format dxfId="80">
      <pivotArea field="2" type="button" dataOnly="0" labelOnly="1" outline="0" axis="axisRow" fieldPosition="0"/>
    </format>
    <format dxfId="79">
      <pivotArea dataOnly="0" labelOnly="1" outline="0" fieldPosition="0">
        <references count="1">
          <reference field="4294967294" count="7">
            <x v="0"/>
            <x v="1"/>
            <x v="2"/>
            <x v="3"/>
            <x v="4"/>
            <x v="5"/>
            <x v="6"/>
          </reference>
        </references>
      </pivotArea>
    </format>
    <format dxfId="78">
      <pivotArea field="2" type="button" dataOnly="0" labelOnly="1" outline="0" axis="axisRow" fieldPosition="0"/>
    </format>
    <format dxfId="77">
      <pivotArea dataOnly="0" labelOnly="1" outline="0" fieldPosition="0">
        <references count="1">
          <reference field="4294967294" count="7">
            <x v="0"/>
            <x v="1"/>
            <x v="2"/>
            <x v="3"/>
            <x v="4"/>
            <x v="5"/>
            <x v="6"/>
          </reference>
        </references>
      </pivotArea>
    </format>
    <format dxfId="76">
      <pivotArea outline="0" collapsedLevelsAreSubtotals="1" fieldPosition="0">
        <references count="1">
          <reference field="4294967294" count="6" selected="0">
            <x v="1"/>
            <x v="2"/>
            <x v="3"/>
            <x v="4"/>
            <x v="5"/>
            <x v="6"/>
          </reference>
        </references>
      </pivotArea>
    </format>
    <format dxfId="75">
      <pivotArea dataOnly="0" labelOnly="1" outline="0" fieldPosition="0">
        <references count="1">
          <reference field="4294967294" count="6">
            <x v="1"/>
            <x v="2"/>
            <x v="3"/>
            <x v="4"/>
            <x v="5"/>
            <x v="6"/>
          </reference>
        </references>
      </pivotArea>
    </format>
    <format dxfId="74">
      <pivotArea type="all" dataOnly="0" outline="0" fieldPosition="0"/>
    </format>
    <format dxfId="73">
      <pivotArea outline="0" collapsedLevelsAreSubtotals="1" fieldPosition="0"/>
    </format>
    <format dxfId="72">
      <pivotArea field="2" type="button" dataOnly="0" labelOnly="1" outline="0" axis="axisRow" fieldPosition="0"/>
    </format>
    <format dxfId="71">
      <pivotArea dataOnly="0" labelOnly="1" fieldPosition="0">
        <references count="1">
          <reference field="2" count="0"/>
        </references>
      </pivotArea>
    </format>
    <format dxfId="70">
      <pivotArea dataOnly="0" labelOnly="1" grandRow="1" outline="0" fieldPosition="0"/>
    </format>
    <format dxfId="69">
      <pivotArea dataOnly="0" labelOnly="1" outline="0" fieldPosition="0">
        <references count="1">
          <reference field="4294967294" count="7">
            <x v="0"/>
            <x v="1"/>
            <x v="2"/>
            <x v="3"/>
            <x v="4"/>
            <x v="5"/>
            <x v="6"/>
          </reference>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74533D-C8F1-4729-A890-65CB92FC1A9B}" name="treatment (predia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edias">
  <location ref="K20:R25" firstHeaderRow="0" firstDataRow="1" firstDataCol="1"/>
  <pivotFields count="6">
    <pivotField dataField="1" showAll="0"/>
    <pivotField showAll="0"/>
    <pivotField axis="axisRow" showAll="0">
      <items count="5">
        <item x="2"/>
        <item x="0"/>
        <item x="1"/>
        <item x="3"/>
        <item t="default"/>
      </items>
    </pivotField>
    <pivotField showAll="0"/>
    <pivotField showAll="0"/>
    <pivotField dragToRow="0" dragToCol="0" dragToPage="0" showAll="0" defaultSubtotal="0"/>
  </pivotFields>
  <rowFields count="1">
    <field x="2"/>
  </rowFields>
  <rowItems count="5">
    <i>
      <x/>
    </i>
    <i>
      <x v="1"/>
    </i>
    <i>
      <x v="2"/>
    </i>
    <i>
      <x v="3"/>
    </i>
    <i t="grand">
      <x/>
    </i>
  </rowItems>
  <colFields count="1">
    <field x="-2"/>
  </colFields>
  <colItems count="7">
    <i>
      <x/>
    </i>
    <i i="1">
      <x v="1"/>
    </i>
    <i i="2">
      <x v="2"/>
    </i>
    <i i="3">
      <x v="3"/>
    </i>
    <i i="4">
      <x v="4"/>
    </i>
    <i i="5">
      <x v="5"/>
    </i>
    <i i="6">
      <x v="6"/>
    </i>
  </colItems>
  <dataFields count="7">
    <dataField name="Mean" fld="0" subtotal="average" baseField="2" baseItem="0"/>
    <dataField name="Standard Deviation" fld="0" subtotal="stdDev" baseField="2" baseItem="0"/>
    <dataField name="Sample Variance" fld="0" subtotal="var" baseField="2" baseItem="0"/>
    <dataField name="Minimum" fld="0" subtotal="min" baseField="2" baseItem="0"/>
    <dataField name="Maximum" fld="0" subtotal="max" baseField="2" baseItem="0"/>
    <dataField name="Sum" fld="0" baseField="2" baseItem="0"/>
    <dataField name="Count" fld="0" subtotal="count" baseField="2" baseItem="0"/>
  </dataFields>
  <formats count="13">
    <format dxfId="95">
      <pivotArea field="2" type="button" dataOnly="0" labelOnly="1" outline="0" axis="axisRow" fieldPosition="0"/>
    </format>
    <format dxfId="94">
      <pivotArea dataOnly="0" labelOnly="1" outline="0" fieldPosition="0">
        <references count="1">
          <reference field="4294967294" count="7">
            <x v="0"/>
            <x v="1"/>
            <x v="2"/>
            <x v="3"/>
            <x v="4"/>
            <x v="5"/>
            <x v="6"/>
          </reference>
        </references>
      </pivotArea>
    </format>
    <format dxfId="93">
      <pivotArea field="2" type="button" dataOnly="0" labelOnly="1" outline="0" axis="axisRow" fieldPosition="0"/>
    </format>
    <format dxfId="92">
      <pivotArea field="2" type="button" dataOnly="0" labelOnly="1" outline="0" axis="axisRow" fieldPosition="0"/>
    </format>
    <format dxfId="91">
      <pivotArea dataOnly="0" labelOnly="1" outline="0" fieldPosition="0">
        <references count="1">
          <reference field="4294967294" count="7">
            <x v="0"/>
            <x v="1"/>
            <x v="2"/>
            <x v="3"/>
            <x v="4"/>
            <x v="5"/>
            <x v="6"/>
          </reference>
        </references>
      </pivotArea>
    </format>
    <format dxfId="90">
      <pivotArea outline="0" collapsedLevelsAreSubtotals="1" fieldPosition="0">
        <references count="1">
          <reference field="4294967294" count="6" selected="0">
            <x v="1"/>
            <x v="2"/>
            <x v="3"/>
            <x v="4"/>
            <x v="5"/>
            <x v="6"/>
          </reference>
        </references>
      </pivotArea>
    </format>
    <format dxfId="89">
      <pivotArea dataOnly="0" labelOnly="1" outline="0" fieldPosition="0">
        <references count="1">
          <reference field="4294967294" count="6">
            <x v="1"/>
            <x v="2"/>
            <x v="3"/>
            <x v="4"/>
            <x v="5"/>
            <x v="6"/>
          </reference>
        </references>
      </pivotArea>
    </format>
    <format dxfId="88">
      <pivotArea type="all" dataOnly="0" outline="0" fieldPosition="0"/>
    </format>
    <format dxfId="87">
      <pivotArea outline="0" collapsedLevelsAreSubtotals="1" fieldPosition="0"/>
    </format>
    <format dxfId="86">
      <pivotArea field="2" type="button" dataOnly="0" labelOnly="1" outline="0" axis="axisRow" fieldPosition="0"/>
    </format>
    <format dxfId="85">
      <pivotArea dataOnly="0" labelOnly="1" fieldPosition="0">
        <references count="1">
          <reference field="2" count="0"/>
        </references>
      </pivotArea>
    </format>
    <format dxfId="84">
      <pivotArea dataOnly="0" labelOnly="1" grandRow="1" outline="0" fieldPosition="0"/>
    </format>
    <format dxfId="83">
      <pivotArea dataOnly="0" labelOnly="1" outline="0" fieldPosition="0">
        <references count="1">
          <reference field="4294967294" count="7">
            <x v="0"/>
            <x v="1"/>
            <x v="2"/>
            <x v="3"/>
            <x v="4"/>
            <x v="5"/>
            <x v="6"/>
          </reference>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95B7A1-AC03-4770-8726-A88DA0CC65B1}" name="treatment (postsy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stsys">
  <location ref="K44:R49" firstHeaderRow="0" firstDataRow="1" firstDataCol="1"/>
  <pivotFields count="6">
    <pivotField showAll="0"/>
    <pivotField showAll="0"/>
    <pivotField axis="axisRow" showAll="0">
      <items count="5">
        <item x="2"/>
        <item x="0"/>
        <item x="1"/>
        <item x="3"/>
        <item t="default"/>
      </items>
    </pivotField>
    <pivotField showAll="0"/>
    <pivotField dataField="1" showAll="0"/>
    <pivotField dragToRow="0" dragToCol="0" dragToPage="0" showAll="0" defaultSubtotal="0"/>
  </pivotFields>
  <rowFields count="1">
    <field x="2"/>
  </rowFields>
  <rowItems count="5">
    <i>
      <x/>
    </i>
    <i>
      <x v="1"/>
    </i>
    <i>
      <x v="2"/>
    </i>
    <i>
      <x v="3"/>
    </i>
    <i t="grand">
      <x/>
    </i>
  </rowItems>
  <colFields count="1">
    <field x="-2"/>
  </colFields>
  <colItems count="7">
    <i>
      <x/>
    </i>
    <i i="1">
      <x v="1"/>
    </i>
    <i i="2">
      <x v="2"/>
    </i>
    <i i="3">
      <x v="3"/>
    </i>
    <i i="4">
      <x v="4"/>
    </i>
    <i i="5">
      <x v="5"/>
    </i>
    <i i="6">
      <x v="6"/>
    </i>
  </colItems>
  <dataFields count="7">
    <dataField name="Mean" fld="4" subtotal="average" baseField="2" baseItem="0"/>
    <dataField name="Standard Deviation" fld="4" subtotal="stdDev" baseField="2" baseItem="0"/>
    <dataField name="Sample Variance" fld="4" subtotal="var" baseField="2" baseItem="0"/>
    <dataField name="Minimum" fld="4" subtotal="min" baseField="2" baseItem="0"/>
    <dataField name="Maximum" fld="4" subtotal="max" baseField="2" baseItem="0"/>
    <dataField name="Sum" fld="4" baseField="2" baseItem="0"/>
    <dataField name="Count" fld="4" subtotal="count" baseField="2" baseItem="0"/>
  </dataFields>
  <formats count="26">
    <format dxfId="121">
      <pivotArea field="2" type="button" dataOnly="0" labelOnly="1" outline="0" axis="axisRow" fieldPosition="0"/>
    </format>
    <format dxfId="120">
      <pivotArea field="2" type="button" dataOnly="0" labelOnly="1" outline="0" axis="axisRow" fieldPosition="0"/>
    </format>
    <format dxfId="119">
      <pivotArea type="all" dataOnly="0" outline="0" fieldPosition="0"/>
    </format>
    <format dxfId="118">
      <pivotArea outline="0" collapsedLevelsAreSubtotals="1" fieldPosition="0"/>
    </format>
    <format dxfId="117">
      <pivotArea field="2" type="button" dataOnly="0" labelOnly="1" outline="0" axis="axisRow" fieldPosition="0"/>
    </format>
    <format dxfId="116">
      <pivotArea dataOnly="0" labelOnly="1" fieldPosition="0">
        <references count="1">
          <reference field="2" count="0"/>
        </references>
      </pivotArea>
    </format>
    <format dxfId="115">
      <pivotArea dataOnly="0" labelOnly="1" grandRow="1" outline="0" fieldPosition="0"/>
    </format>
    <format dxfId="114">
      <pivotArea type="all" dataOnly="0" outline="0" fieldPosition="0"/>
    </format>
    <format dxfId="113">
      <pivotArea outline="0" collapsedLevelsAreSubtotals="1" fieldPosition="0"/>
    </format>
    <format dxfId="112">
      <pivotArea field="2" type="button" dataOnly="0" labelOnly="1" outline="0" axis="axisRow" fieldPosition="0"/>
    </format>
    <format dxfId="111">
      <pivotArea dataOnly="0" labelOnly="1" fieldPosition="0">
        <references count="1">
          <reference field="2" count="0"/>
        </references>
      </pivotArea>
    </format>
    <format dxfId="110">
      <pivotArea dataOnly="0" labelOnly="1" grandRow="1" outline="0" fieldPosition="0"/>
    </format>
    <format dxfId="109">
      <pivotArea field="2" type="button" dataOnly="0" labelOnly="1" outline="0" axis="axisRow" fieldPosition="0"/>
    </format>
    <format dxfId="108">
      <pivotArea dataOnly="0" labelOnly="1" outline="0" fieldPosition="0">
        <references count="1">
          <reference field="4294967294" count="7">
            <x v="0"/>
            <x v="1"/>
            <x v="2"/>
            <x v="3"/>
            <x v="4"/>
            <x v="5"/>
            <x v="6"/>
          </reference>
        </references>
      </pivotArea>
    </format>
    <format dxfId="107">
      <pivotArea field="2" type="button" dataOnly="0" labelOnly="1" outline="0" axis="axisRow" fieldPosition="0"/>
    </format>
    <format dxfId="106">
      <pivotArea dataOnly="0" labelOnly="1" outline="0" fieldPosition="0">
        <references count="1">
          <reference field="4294967294" count="7">
            <x v="0"/>
            <x v="1"/>
            <x v="2"/>
            <x v="3"/>
            <x v="4"/>
            <x v="5"/>
            <x v="6"/>
          </reference>
        </references>
      </pivotArea>
    </format>
    <format dxfId="105">
      <pivotArea grandRow="1" outline="0" collapsedLevelsAreSubtotals="1" fieldPosition="0"/>
    </format>
    <format dxfId="104">
      <pivotArea dataOnly="0" labelOnly="1" grandRow="1" outline="0" fieldPosition="0"/>
    </format>
    <format dxfId="103">
      <pivotArea outline="0" collapsedLevelsAreSubtotals="1" fieldPosition="0">
        <references count="1">
          <reference field="4294967294" count="6" selected="0">
            <x v="1"/>
            <x v="2"/>
            <x v="3"/>
            <x v="4"/>
            <x v="5"/>
            <x v="6"/>
          </reference>
        </references>
      </pivotArea>
    </format>
    <format dxfId="102">
      <pivotArea dataOnly="0" labelOnly="1" outline="0" fieldPosition="0">
        <references count="1">
          <reference field="4294967294" count="6">
            <x v="1"/>
            <x v="2"/>
            <x v="3"/>
            <x v="4"/>
            <x v="5"/>
            <x v="6"/>
          </reference>
        </references>
      </pivotArea>
    </format>
    <format dxfId="101">
      <pivotArea type="all" dataOnly="0" outline="0" fieldPosition="0"/>
    </format>
    <format dxfId="100">
      <pivotArea outline="0" collapsedLevelsAreSubtotals="1" fieldPosition="0"/>
    </format>
    <format dxfId="99">
      <pivotArea field="2" type="button" dataOnly="0" labelOnly="1" outline="0" axis="axisRow" fieldPosition="0"/>
    </format>
    <format dxfId="98">
      <pivotArea dataOnly="0" labelOnly="1" fieldPosition="0">
        <references count="1">
          <reference field="2" count="0"/>
        </references>
      </pivotArea>
    </format>
    <format dxfId="97">
      <pivotArea dataOnly="0" labelOnly="1" grandRow="1" outline="0" fieldPosition="0"/>
    </format>
    <format dxfId="96">
      <pivotArea dataOnly="0" labelOnly="1" outline="0" fieldPosition="0">
        <references count="1">
          <reference field="4294967294" count="7">
            <x v="0"/>
            <x v="1"/>
            <x v="2"/>
            <x v="3"/>
            <x v="4"/>
            <x v="5"/>
            <x v="6"/>
          </reference>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90F68E8-66CF-4AF8-AE72-6DFC787EF712}" autoFormatId="16" applyNumberFormats="0" applyBorderFormats="0" applyFontFormats="0" applyPatternFormats="0" applyAlignmentFormats="0" applyWidthHeightFormats="0">
  <queryTableRefresh nextId="5">
    <queryTableFields count="4">
      <queryTableField id="1" name="id" tableColumnId="1"/>
      <queryTableField id="2" name="time" tableColumnId="2"/>
      <queryTableField id="3" name="poison" tableColumnId="3"/>
      <queryTableField id="4" name="trea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B82185D-6611-4D0A-A408-A81B1FF9FA4F}" autoFormatId="16" applyNumberFormats="0" applyBorderFormats="0" applyFontFormats="0" applyPatternFormats="0" applyAlignmentFormats="0" applyWidthHeightFormats="0">
  <queryTableRefresh nextId="10">
    <queryTableFields count="9">
      <queryTableField id="1" name="Column1" tableColumnId="1"/>
      <queryTableField id="2" name="id" tableColumnId="2"/>
      <queryTableField id="3" name="sex" tableColumnId="3"/>
      <queryTableField id="4" name="bdate" tableColumnId="4"/>
      <queryTableField id="5" name="predias" tableColumnId="5"/>
      <queryTableField id="6" name="presys" tableColumnId="6"/>
      <queryTableField id="7" name="treatment" tableColumnId="7"/>
      <queryTableField id="8" name="postdias" tableColumnId="8"/>
      <queryTableField id="9" name="postsy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AF8445-07BE-4821-94B1-46CB0C65D2F9}" name="Poison_Dataset" displayName="Poison_Dataset" ref="A1:D49" tableType="queryTable" totalsRowShown="0">
  <autoFilter ref="A1:D49" xr:uid="{96AF8445-07BE-4821-94B1-46CB0C65D2F9}"/>
  <tableColumns count="4">
    <tableColumn id="1" xr3:uid="{619C64D8-A520-4EF7-921C-33DA509535A5}" uniqueName="1" name="id" queryTableFieldId="1"/>
    <tableColumn id="2" xr3:uid="{FFD82DF4-371E-4769-ADFC-486BBEAA0DD7}" uniqueName="2" name="time" queryTableFieldId="2"/>
    <tableColumn id="3" xr3:uid="{88A800E6-13F6-4BDE-9ACE-B4C4FEB82E8A}" uniqueName="3" name="poison" queryTableFieldId="3"/>
    <tableColumn id="4" xr3:uid="{67F5974A-5723-41EB-8DEE-79DD8520F8FC}" uniqueName="4" name="treat" queryTableFieldId="4" dataDxfId="12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7BFA06-F812-4433-8EFE-B08474BCC555}" name="Blood_Pressure_Dataset" displayName="Blood_Pressure_Dataset" ref="A1:I121" tableType="queryTable" totalsRowShown="0" headerRowDxfId="44" dataDxfId="43">
  <autoFilter ref="A1:I121" xr:uid="{CA7BFA06-F812-4433-8EFE-B08474BCC555}"/>
  <tableColumns count="9">
    <tableColumn id="1" xr3:uid="{1FC92FDE-76A1-4D90-A98D-2F032CED3216}" uniqueName="1" name="Column1" queryTableFieldId="1" dataDxfId="42"/>
    <tableColumn id="2" xr3:uid="{395AE6D3-68C1-4C51-8E19-1CC353BFD907}" uniqueName="2" name="id" queryTableFieldId="2" dataDxfId="41"/>
    <tableColumn id="3" xr3:uid="{6543D02A-0D7C-4EFD-8E66-55F9F0303A8A}" uniqueName="3" name="sex" queryTableFieldId="3" dataDxfId="40"/>
    <tableColumn id="4" xr3:uid="{FC1584AE-2AFD-4D17-8F18-E0B3FF2A85BD}" uniqueName="4" name="bdate" queryTableFieldId="4" dataDxfId="39"/>
    <tableColumn id="5" xr3:uid="{B57E43DD-8AFB-4E72-A7E5-0EA58DA1B300}" uniqueName="5" name="predias" queryTableFieldId="5" dataDxfId="38"/>
    <tableColumn id="6" xr3:uid="{264C6594-A405-4532-BF0F-4849877C7BC8}" uniqueName="6" name="presys" queryTableFieldId="6" dataDxfId="37"/>
    <tableColumn id="7" xr3:uid="{C877D373-99BF-4E2F-BA82-E2B1D5528F93}" uniqueName="7" name="treatment" queryTableFieldId="7" dataDxfId="36"/>
    <tableColumn id="8" xr3:uid="{2E3EC29F-C477-44ED-8BEE-CCC46136D373}" uniqueName="8" name="postdias" queryTableFieldId="8" dataDxfId="35"/>
    <tableColumn id="9" xr3:uid="{50B2A5FD-E51E-4F5F-A190-6BAF24F566E0}" uniqueName="9" name="postsys" queryTableFieldId="9" dataDxfId="3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table" Target="../tables/table2.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D57F7-9B01-4CBD-9F8C-5376100743DF}">
  <dimension ref="A1:AA155"/>
  <sheetViews>
    <sheetView showGridLines="0" tabSelected="1" zoomScale="25" zoomScaleNormal="25" workbookViewId="0">
      <selection activeCell="N38" sqref="N38:AA152"/>
    </sheetView>
  </sheetViews>
  <sheetFormatPr defaultRowHeight="14.4" x14ac:dyDescent="0.3"/>
  <cols>
    <col min="1" max="1" width="7.77734375" bestFit="1" customWidth="1"/>
    <col min="2" max="2" width="10.44140625" bestFit="1" customWidth="1"/>
    <col min="3" max="3" width="13.21875" bestFit="1" customWidth="1"/>
    <col min="4" max="4" width="11" bestFit="1" customWidth="1"/>
    <col min="6" max="6" width="39.88671875" bestFit="1" customWidth="1"/>
    <col min="7" max="7" width="15.44140625" customWidth="1"/>
    <col min="8" max="8" width="13" bestFit="1" customWidth="1"/>
    <col min="9" max="9" width="10.77734375" bestFit="1" customWidth="1"/>
    <col min="10" max="10" width="13.33203125" bestFit="1" customWidth="1"/>
    <col min="11" max="11" width="17.21875" bestFit="1" customWidth="1"/>
    <col min="12" max="12" width="15.33203125" bestFit="1" customWidth="1"/>
    <col min="13" max="13" width="9" bestFit="1" customWidth="1"/>
    <col min="14" max="14" width="30.88671875" bestFit="1" customWidth="1"/>
    <col min="15" max="17" width="13.33203125" bestFit="1" customWidth="1"/>
    <col min="18" max="18" width="15.21875" bestFit="1" customWidth="1"/>
    <col min="19" max="19" width="13.6640625" bestFit="1" customWidth="1"/>
    <col min="20" max="20" width="13.33203125" bestFit="1" customWidth="1"/>
    <col min="21" max="21" width="34.5546875" bestFit="1" customWidth="1"/>
    <col min="22" max="22" width="13.77734375" bestFit="1" customWidth="1"/>
    <col min="23" max="39" width="16.21875" bestFit="1" customWidth="1"/>
    <col min="40" max="41" width="10.5546875" bestFit="1" customWidth="1"/>
  </cols>
  <sheetData>
    <row r="1" spans="1:23" x14ac:dyDescent="0.3">
      <c r="A1" t="s">
        <v>0</v>
      </c>
      <c r="B1" t="s">
        <v>1</v>
      </c>
      <c r="C1" t="s">
        <v>2</v>
      </c>
      <c r="D1" t="s">
        <v>3</v>
      </c>
      <c r="F1" s="40"/>
      <c r="G1" s="40"/>
      <c r="H1" s="40"/>
      <c r="I1" s="40"/>
      <c r="J1" s="40"/>
      <c r="K1" s="40"/>
      <c r="L1" s="40"/>
      <c r="M1" s="40"/>
      <c r="N1" s="40"/>
      <c r="O1" s="40"/>
      <c r="P1" s="40"/>
      <c r="Q1" s="40"/>
      <c r="R1" s="40"/>
      <c r="S1" s="40"/>
      <c r="T1" s="40"/>
      <c r="U1" s="40"/>
      <c r="V1" s="40"/>
      <c r="W1" s="40"/>
    </row>
    <row r="2" spans="1:23" x14ac:dyDescent="0.3">
      <c r="A2">
        <v>1</v>
      </c>
      <c r="B2">
        <v>0.31</v>
      </c>
      <c r="C2">
        <v>1</v>
      </c>
      <c r="D2" t="s">
        <v>18</v>
      </c>
      <c r="F2" s="40"/>
      <c r="G2" s="40"/>
      <c r="H2" s="40"/>
      <c r="I2" s="40"/>
      <c r="J2" s="40"/>
      <c r="K2" s="40"/>
      <c r="L2" s="40"/>
      <c r="M2" s="40"/>
      <c r="N2" s="40"/>
      <c r="O2" s="40"/>
      <c r="P2" s="40"/>
      <c r="Q2" s="40"/>
      <c r="R2" s="40"/>
      <c r="S2" s="40"/>
      <c r="T2" s="40"/>
      <c r="U2" s="40"/>
      <c r="V2" s="40"/>
      <c r="W2" s="40"/>
    </row>
    <row r="3" spans="1:23" x14ac:dyDescent="0.3">
      <c r="A3">
        <v>2</v>
      </c>
      <c r="B3">
        <v>0.45</v>
      </c>
      <c r="C3">
        <v>1</v>
      </c>
      <c r="D3" t="s">
        <v>18</v>
      </c>
    </row>
    <row r="4" spans="1:23" ht="15" thickBot="1" x14ac:dyDescent="0.35">
      <c r="A4">
        <v>3</v>
      </c>
      <c r="B4">
        <v>0.46</v>
      </c>
      <c r="C4">
        <v>1</v>
      </c>
      <c r="D4" t="s">
        <v>18</v>
      </c>
    </row>
    <row r="5" spans="1:23" x14ac:dyDescent="0.3">
      <c r="A5">
        <v>4</v>
      </c>
      <c r="B5">
        <v>0.43</v>
      </c>
      <c r="C5">
        <v>1</v>
      </c>
      <c r="D5" t="s">
        <v>18</v>
      </c>
      <c r="F5" s="41" t="s">
        <v>1</v>
      </c>
      <c r="G5" s="41"/>
      <c r="H5" s="40"/>
      <c r="I5" s="42" t="s">
        <v>23</v>
      </c>
      <c r="J5" s="42"/>
      <c r="K5" s="42"/>
      <c r="L5" s="42"/>
      <c r="M5" s="42"/>
      <c r="N5" s="42"/>
      <c r="O5" s="42"/>
      <c r="P5" s="42"/>
      <c r="Q5" s="40"/>
      <c r="R5" s="43" t="s">
        <v>3</v>
      </c>
      <c r="S5" s="44" t="s">
        <v>73</v>
      </c>
      <c r="T5" s="40"/>
      <c r="U5" s="40"/>
      <c r="V5" s="40"/>
      <c r="W5" s="40"/>
    </row>
    <row r="6" spans="1:23" x14ac:dyDescent="0.3">
      <c r="A6">
        <v>5</v>
      </c>
      <c r="B6">
        <v>0.36</v>
      </c>
      <c r="C6">
        <v>2</v>
      </c>
      <c r="D6" t="s">
        <v>18</v>
      </c>
      <c r="F6" s="40"/>
      <c r="G6" s="40"/>
      <c r="H6" s="40"/>
      <c r="I6" s="45" t="s">
        <v>3</v>
      </c>
      <c r="J6" s="40" t="s">
        <v>4</v>
      </c>
      <c r="K6" s="40" t="s">
        <v>8</v>
      </c>
      <c r="L6" s="40" t="s">
        <v>9</v>
      </c>
      <c r="M6" s="40" t="s">
        <v>13</v>
      </c>
      <c r="N6" s="40" t="s">
        <v>14</v>
      </c>
      <c r="O6" s="40" t="s">
        <v>15</v>
      </c>
      <c r="P6" s="40" t="s">
        <v>16</v>
      </c>
      <c r="Q6" s="40"/>
      <c r="R6" s="46" t="s">
        <v>18</v>
      </c>
      <c r="S6" s="40">
        <v>0.31416666666666665</v>
      </c>
      <c r="T6" s="40"/>
      <c r="U6" s="40"/>
      <c r="V6" s="40"/>
      <c r="W6" s="40"/>
    </row>
    <row r="7" spans="1:23" x14ac:dyDescent="0.3">
      <c r="A7">
        <v>6</v>
      </c>
      <c r="B7">
        <v>0.28999999999999998</v>
      </c>
      <c r="C7">
        <v>2</v>
      </c>
      <c r="D7" t="s">
        <v>18</v>
      </c>
      <c r="F7" s="40" t="s">
        <v>4</v>
      </c>
      <c r="G7" s="40">
        <v>0.47937499999999988</v>
      </c>
      <c r="H7" s="40"/>
      <c r="I7" s="46" t="s">
        <v>18</v>
      </c>
      <c r="J7" s="40">
        <v>0.31416666666666665</v>
      </c>
      <c r="K7" s="40">
        <v>0.10228821431562281</v>
      </c>
      <c r="L7" s="40">
        <v>1.0462878787878781E-2</v>
      </c>
      <c r="M7" s="40">
        <v>0.18</v>
      </c>
      <c r="N7" s="40">
        <v>0.46</v>
      </c>
      <c r="O7" s="40">
        <v>3.77</v>
      </c>
      <c r="P7" s="40">
        <v>12</v>
      </c>
      <c r="Q7" s="40"/>
      <c r="R7" s="46" t="s">
        <v>19</v>
      </c>
      <c r="S7" s="40">
        <v>0.67666666666666664</v>
      </c>
      <c r="T7" s="40"/>
      <c r="U7" s="40"/>
      <c r="V7" s="40"/>
      <c r="W7" s="40"/>
    </row>
    <row r="8" spans="1:23" x14ac:dyDescent="0.3">
      <c r="A8">
        <v>7</v>
      </c>
      <c r="B8">
        <v>0.4</v>
      </c>
      <c r="C8">
        <v>2</v>
      </c>
      <c r="D8" t="s">
        <v>18</v>
      </c>
      <c r="F8" s="40" t="s">
        <v>5</v>
      </c>
      <c r="G8" s="40">
        <v>3.649711716245839E-2</v>
      </c>
      <c r="H8" s="40"/>
      <c r="I8" s="46" t="s">
        <v>19</v>
      </c>
      <c r="J8" s="40">
        <v>0.67666666666666664</v>
      </c>
      <c r="K8" s="40">
        <v>0.3208322510804259</v>
      </c>
      <c r="L8" s="40">
        <v>0.10293333333333346</v>
      </c>
      <c r="M8" s="40">
        <v>0.28999999999999998</v>
      </c>
      <c r="N8" s="40">
        <v>1.24</v>
      </c>
      <c r="O8" s="40">
        <v>8.1199999999999992</v>
      </c>
      <c r="P8" s="40">
        <v>12</v>
      </c>
      <c r="Q8" s="40"/>
      <c r="R8" s="46" t="s">
        <v>20</v>
      </c>
      <c r="S8" s="40">
        <v>0.39250000000000002</v>
      </c>
      <c r="T8" s="40"/>
      <c r="U8" s="40"/>
      <c r="V8" s="40"/>
      <c r="W8" s="40"/>
    </row>
    <row r="9" spans="1:23" x14ac:dyDescent="0.3">
      <c r="A9">
        <v>8</v>
      </c>
      <c r="B9">
        <v>0.23</v>
      </c>
      <c r="C9">
        <v>2</v>
      </c>
      <c r="D9" t="s">
        <v>18</v>
      </c>
      <c r="F9" s="40" t="s">
        <v>6</v>
      </c>
      <c r="G9" s="40">
        <v>0.4</v>
      </c>
      <c r="H9" s="40"/>
      <c r="I9" s="46" t="s">
        <v>20</v>
      </c>
      <c r="J9" s="40">
        <v>0.39250000000000002</v>
      </c>
      <c r="K9" s="40">
        <v>0.16701251994440958</v>
      </c>
      <c r="L9" s="40">
        <v>2.789318181818181E-2</v>
      </c>
      <c r="M9" s="40">
        <v>0.22</v>
      </c>
      <c r="N9" s="40">
        <v>0.76</v>
      </c>
      <c r="O9" s="40">
        <v>4.71</v>
      </c>
      <c r="P9" s="40">
        <v>12</v>
      </c>
      <c r="Q9" s="40"/>
      <c r="R9" s="46" t="s">
        <v>21</v>
      </c>
      <c r="S9" s="40">
        <v>0.53416666666666657</v>
      </c>
      <c r="T9" s="40"/>
      <c r="U9" s="40"/>
      <c r="V9" s="40"/>
      <c r="W9" s="40"/>
    </row>
    <row r="10" spans="1:23" x14ac:dyDescent="0.3">
      <c r="A10">
        <v>9</v>
      </c>
      <c r="B10">
        <v>0.22</v>
      </c>
      <c r="C10">
        <v>3</v>
      </c>
      <c r="D10" t="s">
        <v>18</v>
      </c>
      <c r="F10" s="40" t="s">
        <v>7</v>
      </c>
      <c r="G10" s="40">
        <v>0.31</v>
      </c>
      <c r="H10" s="40"/>
      <c r="I10" s="46" t="s">
        <v>21</v>
      </c>
      <c r="J10" s="40">
        <v>0.53416666666666657</v>
      </c>
      <c r="K10" s="40">
        <v>0.21943971354061687</v>
      </c>
      <c r="L10" s="40">
        <v>4.8153787878787983E-2</v>
      </c>
      <c r="M10" s="40">
        <v>0.3</v>
      </c>
      <c r="N10" s="40">
        <v>1.02</v>
      </c>
      <c r="O10" s="40">
        <v>6.4099999999999993</v>
      </c>
      <c r="P10" s="40">
        <v>12</v>
      </c>
      <c r="Q10" s="40"/>
      <c r="R10" s="46" t="s">
        <v>22</v>
      </c>
      <c r="S10" s="40">
        <v>0.47937499999999988</v>
      </c>
      <c r="T10" s="40"/>
      <c r="U10" s="40"/>
      <c r="V10" s="40"/>
      <c r="W10" s="40"/>
    </row>
    <row r="11" spans="1:23" x14ac:dyDescent="0.3">
      <c r="A11">
        <v>10</v>
      </c>
      <c r="B11">
        <v>0.21</v>
      </c>
      <c r="C11">
        <v>3</v>
      </c>
      <c r="D11" t="s">
        <v>18</v>
      </c>
      <c r="F11" s="40" t="s">
        <v>8</v>
      </c>
      <c r="G11" s="40">
        <v>0.25285944502068791</v>
      </c>
      <c r="H11" s="40"/>
      <c r="I11" s="46" t="s">
        <v>22</v>
      </c>
      <c r="J11" s="40">
        <v>0.47937499999999988</v>
      </c>
      <c r="K11" s="40">
        <v>0.25285944502068791</v>
      </c>
      <c r="L11" s="40">
        <v>6.3937898936170287E-2</v>
      </c>
      <c r="M11" s="40">
        <v>0.18</v>
      </c>
      <c r="N11" s="40">
        <v>1.24</v>
      </c>
      <c r="O11" s="40">
        <v>23.009999999999994</v>
      </c>
      <c r="P11" s="40">
        <v>48</v>
      </c>
      <c r="Q11" s="40"/>
      <c r="R11" s="40"/>
      <c r="S11" s="40"/>
      <c r="T11" s="40"/>
      <c r="U11" s="40"/>
      <c r="V11" s="40"/>
      <c r="W11" s="40"/>
    </row>
    <row r="12" spans="1:23" ht="15" thickBot="1" x14ac:dyDescent="0.35">
      <c r="A12">
        <v>11</v>
      </c>
      <c r="B12">
        <v>0.18</v>
      </c>
      <c r="C12">
        <v>3</v>
      </c>
      <c r="D12" t="s">
        <v>18</v>
      </c>
      <c r="F12" s="40" t="s">
        <v>9</v>
      </c>
      <c r="G12" s="40">
        <v>6.3937898936170287E-2</v>
      </c>
      <c r="H12" s="40"/>
      <c r="I12" s="40"/>
      <c r="J12" s="40"/>
      <c r="K12" s="40"/>
      <c r="L12" s="40"/>
      <c r="M12" s="40"/>
      <c r="N12" s="40"/>
      <c r="O12" s="40"/>
      <c r="P12" s="40"/>
      <c r="Q12" s="40"/>
      <c r="R12" s="40"/>
      <c r="S12" s="40"/>
      <c r="T12" s="40"/>
      <c r="U12" s="40"/>
      <c r="V12" s="40"/>
      <c r="W12" s="40"/>
    </row>
    <row r="13" spans="1:23" x14ac:dyDescent="0.3">
      <c r="A13">
        <v>12</v>
      </c>
      <c r="B13">
        <v>0.23</v>
      </c>
      <c r="C13">
        <v>3</v>
      </c>
      <c r="D13" t="s">
        <v>18</v>
      </c>
      <c r="F13" s="40" t="s">
        <v>10</v>
      </c>
      <c r="G13" s="40">
        <v>1.0070954078963679</v>
      </c>
      <c r="H13" s="40"/>
      <c r="I13" s="41" t="s">
        <v>24</v>
      </c>
      <c r="J13" s="41"/>
      <c r="K13" s="41"/>
      <c r="L13" s="41"/>
      <c r="M13" s="41"/>
      <c r="N13" s="41"/>
      <c r="O13" s="41"/>
      <c r="P13" s="41"/>
      <c r="Q13" s="40"/>
      <c r="R13" s="40"/>
      <c r="S13" s="40"/>
      <c r="T13" s="40"/>
      <c r="U13" s="40"/>
      <c r="V13" s="40"/>
      <c r="W13" s="40"/>
    </row>
    <row r="14" spans="1:23" x14ac:dyDescent="0.3">
      <c r="A14">
        <v>13</v>
      </c>
      <c r="B14">
        <v>0.82</v>
      </c>
      <c r="C14">
        <v>1</v>
      </c>
      <c r="D14" t="s">
        <v>19</v>
      </c>
      <c r="F14" s="40" t="s">
        <v>11</v>
      </c>
      <c r="G14" s="40">
        <v>1.2291277409566963</v>
      </c>
      <c r="H14" s="40"/>
      <c r="I14" s="45" t="s">
        <v>2</v>
      </c>
      <c r="J14" s="40" t="s">
        <v>4</v>
      </c>
      <c r="K14" s="40" t="s">
        <v>8</v>
      </c>
      <c r="L14" s="40" t="s">
        <v>9</v>
      </c>
      <c r="M14" s="40" t="s">
        <v>13</v>
      </c>
      <c r="N14" s="40" t="s">
        <v>14</v>
      </c>
      <c r="O14" s="40" t="s">
        <v>15</v>
      </c>
      <c r="P14" s="40" t="s">
        <v>16</v>
      </c>
      <c r="Q14" s="40"/>
      <c r="R14" s="40"/>
      <c r="S14" s="40"/>
      <c r="T14" s="40"/>
      <c r="U14" s="40"/>
      <c r="V14" s="40"/>
      <c r="W14" s="40"/>
    </row>
    <row r="15" spans="1:23" x14ac:dyDescent="0.3">
      <c r="A15">
        <v>14</v>
      </c>
      <c r="B15">
        <v>1.1000000000000001</v>
      </c>
      <c r="C15">
        <v>1</v>
      </c>
      <c r="D15" t="s">
        <v>19</v>
      </c>
      <c r="F15" s="40" t="s">
        <v>12</v>
      </c>
      <c r="G15" s="40">
        <v>1.06</v>
      </c>
      <c r="H15" s="40"/>
      <c r="I15" s="46">
        <v>1</v>
      </c>
      <c r="J15" s="40">
        <v>0.61749999999999994</v>
      </c>
      <c r="K15" s="40">
        <v>0.20942779185198901</v>
      </c>
      <c r="L15" s="40">
        <v>4.3860000000000038E-2</v>
      </c>
      <c r="M15" s="40">
        <v>0.31</v>
      </c>
      <c r="N15" s="40">
        <v>1.1000000000000001</v>
      </c>
      <c r="O15" s="40">
        <v>9.879999999999999</v>
      </c>
      <c r="P15" s="40">
        <v>16</v>
      </c>
      <c r="Q15" s="40"/>
      <c r="R15" s="40"/>
      <c r="S15" s="40"/>
      <c r="T15" s="40"/>
      <c r="U15" s="40"/>
      <c r="V15" s="40"/>
      <c r="W15" s="40"/>
    </row>
    <row r="16" spans="1:23" x14ac:dyDescent="0.3">
      <c r="A16">
        <v>15</v>
      </c>
      <c r="B16">
        <v>0.88</v>
      </c>
      <c r="C16">
        <v>1</v>
      </c>
      <c r="D16" t="s">
        <v>19</v>
      </c>
      <c r="F16" s="40" t="s">
        <v>13</v>
      </c>
      <c r="G16" s="40">
        <v>0.18</v>
      </c>
      <c r="H16" s="40"/>
      <c r="I16" s="46">
        <v>2</v>
      </c>
      <c r="J16" s="40">
        <v>0.54437499999999994</v>
      </c>
      <c r="K16" s="40">
        <v>0.28936640555991772</v>
      </c>
      <c r="L16" s="40">
        <v>8.3732916666666782E-2</v>
      </c>
      <c r="M16" s="40">
        <v>0.23</v>
      </c>
      <c r="N16" s="40">
        <v>1.24</v>
      </c>
      <c r="O16" s="40">
        <v>8.7099999999999991</v>
      </c>
      <c r="P16" s="40">
        <v>16</v>
      </c>
      <c r="Q16" s="40"/>
      <c r="R16" s="40"/>
      <c r="S16" s="40"/>
      <c r="T16" s="40"/>
      <c r="U16" s="40"/>
      <c r="V16" s="40"/>
      <c r="W16" s="40"/>
    </row>
    <row r="17" spans="1:23" x14ac:dyDescent="0.3">
      <c r="A17">
        <v>16</v>
      </c>
      <c r="B17">
        <v>0.72</v>
      </c>
      <c r="C17">
        <v>1</v>
      </c>
      <c r="D17" t="s">
        <v>19</v>
      </c>
      <c r="F17" s="40" t="s">
        <v>14</v>
      </c>
      <c r="G17" s="40">
        <v>1.24</v>
      </c>
      <c r="H17" s="40"/>
      <c r="I17" s="46">
        <v>3</v>
      </c>
      <c r="J17" s="40">
        <v>0.27624999999999994</v>
      </c>
      <c r="K17" s="40">
        <v>6.2276266212204535E-2</v>
      </c>
      <c r="L17" s="40">
        <v>3.8783333333333686E-3</v>
      </c>
      <c r="M17" s="40">
        <v>0.18</v>
      </c>
      <c r="N17" s="40">
        <v>0.38</v>
      </c>
      <c r="O17" s="40">
        <v>4.419999999999999</v>
      </c>
      <c r="P17" s="40">
        <v>16</v>
      </c>
      <c r="Q17" s="40"/>
      <c r="R17" s="40"/>
      <c r="S17" s="40"/>
      <c r="T17" s="40"/>
      <c r="U17" s="40"/>
      <c r="V17" s="40"/>
      <c r="W17" s="40"/>
    </row>
    <row r="18" spans="1:23" x14ac:dyDescent="0.3">
      <c r="A18">
        <v>17</v>
      </c>
      <c r="B18">
        <v>0.92</v>
      </c>
      <c r="C18">
        <v>2</v>
      </c>
      <c r="D18" t="s">
        <v>19</v>
      </c>
      <c r="F18" s="40" t="s">
        <v>15</v>
      </c>
      <c r="G18" s="40">
        <v>23.009999999999994</v>
      </c>
      <c r="H18" s="40"/>
      <c r="I18" s="46" t="s">
        <v>22</v>
      </c>
      <c r="J18" s="40">
        <v>0.47937499999999983</v>
      </c>
      <c r="K18" s="40">
        <v>0.25285944502068802</v>
      </c>
      <c r="L18" s="40">
        <v>6.3937898936170356E-2</v>
      </c>
      <c r="M18" s="40">
        <v>0.18</v>
      </c>
      <c r="N18" s="40">
        <v>1.24</v>
      </c>
      <c r="O18" s="40">
        <v>23.009999999999991</v>
      </c>
      <c r="P18" s="40">
        <v>48</v>
      </c>
      <c r="Q18" s="40"/>
      <c r="R18" s="40"/>
      <c r="S18" s="40"/>
      <c r="T18" s="40"/>
      <c r="U18" s="40"/>
      <c r="V18" s="40"/>
      <c r="W18" s="40"/>
    </row>
    <row r="19" spans="1:23" x14ac:dyDescent="0.3">
      <c r="A19">
        <v>18</v>
      </c>
      <c r="B19">
        <v>0.61</v>
      </c>
      <c r="C19">
        <v>2</v>
      </c>
      <c r="D19" t="s">
        <v>19</v>
      </c>
      <c r="F19" s="40" t="s">
        <v>16</v>
      </c>
      <c r="G19" s="40">
        <v>48</v>
      </c>
      <c r="H19" s="40"/>
      <c r="I19" s="40"/>
      <c r="J19" s="40"/>
      <c r="K19" s="40"/>
      <c r="L19" s="40"/>
      <c r="M19" s="40"/>
      <c r="N19" s="40"/>
      <c r="O19" s="40"/>
      <c r="P19" s="40"/>
      <c r="Q19" s="40"/>
      <c r="R19" s="40"/>
      <c r="S19" s="40"/>
      <c r="T19" s="40"/>
      <c r="U19" s="40"/>
      <c r="V19" s="40"/>
      <c r="W19" s="40"/>
    </row>
    <row r="20" spans="1:23" ht="15" thickBot="1" x14ac:dyDescent="0.35">
      <c r="A20">
        <v>19</v>
      </c>
      <c r="B20">
        <v>0.49</v>
      </c>
      <c r="C20">
        <v>2</v>
      </c>
      <c r="D20" t="s">
        <v>19</v>
      </c>
      <c r="F20" s="47" t="s">
        <v>17</v>
      </c>
      <c r="G20" s="47">
        <v>7.3422729230059436E-2</v>
      </c>
      <c r="H20" s="40"/>
      <c r="I20" s="40"/>
      <c r="J20" s="40"/>
      <c r="K20" s="40"/>
      <c r="L20" s="40"/>
      <c r="M20" s="40"/>
      <c r="N20" s="40"/>
      <c r="O20" s="40"/>
      <c r="P20" s="40"/>
      <c r="Q20" s="40"/>
      <c r="R20" s="40"/>
      <c r="S20" s="40"/>
      <c r="T20" s="40"/>
      <c r="U20" s="40"/>
      <c r="V20" s="40"/>
      <c r="W20" s="40"/>
    </row>
    <row r="21" spans="1:23" ht="15" thickBot="1" x14ac:dyDescent="0.35">
      <c r="A21">
        <v>20</v>
      </c>
      <c r="B21">
        <v>1.24</v>
      </c>
      <c r="C21">
        <v>2</v>
      </c>
      <c r="D21" t="s">
        <v>19</v>
      </c>
      <c r="F21" s="40"/>
      <c r="G21" s="40"/>
      <c r="H21" s="40"/>
      <c r="I21" s="40"/>
      <c r="J21" s="40"/>
      <c r="K21" s="40"/>
      <c r="L21" s="40"/>
      <c r="M21" s="40"/>
      <c r="N21" s="40"/>
      <c r="O21" s="40"/>
      <c r="P21" s="40"/>
      <c r="Q21" s="40"/>
      <c r="R21" s="40"/>
      <c r="S21" s="40"/>
      <c r="T21" s="40"/>
      <c r="U21" s="40"/>
      <c r="V21" s="40"/>
      <c r="W21" s="40"/>
    </row>
    <row r="22" spans="1:23" x14ac:dyDescent="0.3">
      <c r="A22">
        <v>21</v>
      </c>
      <c r="B22">
        <v>0.3</v>
      </c>
      <c r="C22">
        <v>3</v>
      </c>
      <c r="D22" t="s">
        <v>19</v>
      </c>
      <c r="F22" s="40" t="s">
        <v>25</v>
      </c>
      <c r="G22" s="40" t="s">
        <v>26</v>
      </c>
      <c r="H22" s="40"/>
      <c r="I22" s="40"/>
      <c r="J22" s="40"/>
      <c r="K22" s="40"/>
      <c r="L22" s="40"/>
      <c r="M22" s="40"/>
      <c r="N22" s="40"/>
      <c r="O22" s="40"/>
      <c r="P22" s="40"/>
      <c r="Q22" s="40"/>
      <c r="R22" s="43" t="s">
        <v>2</v>
      </c>
      <c r="S22" s="44" t="s">
        <v>73</v>
      </c>
      <c r="T22" s="40"/>
      <c r="U22" s="40"/>
      <c r="V22" s="40"/>
      <c r="W22" s="40"/>
    </row>
    <row r="23" spans="1:23" x14ac:dyDescent="0.3">
      <c r="A23">
        <v>22</v>
      </c>
      <c r="B23">
        <v>0.37</v>
      </c>
      <c r="C23">
        <v>3</v>
      </c>
      <c r="D23" t="s">
        <v>19</v>
      </c>
      <c r="F23" s="40" t="s">
        <v>27</v>
      </c>
      <c r="G23" s="40">
        <v>1</v>
      </c>
      <c r="H23" s="40">
        <v>2</v>
      </c>
      <c r="I23" s="40">
        <v>3</v>
      </c>
      <c r="J23" s="40" t="s">
        <v>22</v>
      </c>
      <c r="K23" s="40"/>
      <c r="L23" s="40"/>
      <c r="M23" s="40"/>
      <c r="N23" s="40"/>
      <c r="O23" s="40"/>
      <c r="P23" s="40"/>
      <c r="Q23" s="40"/>
      <c r="R23" s="46">
        <v>1</v>
      </c>
      <c r="S23" s="40">
        <v>0.61749999999999994</v>
      </c>
      <c r="T23" s="40"/>
      <c r="U23" s="40"/>
      <c r="V23" s="40"/>
      <c r="W23" s="40"/>
    </row>
    <row r="24" spans="1:23" x14ac:dyDescent="0.3">
      <c r="A24">
        <v>23</v>
      </c>
      <c r="B24">
        <v>0.38</v>
      </c>
      <c r="C24">
        <v>3</v>
      </c>
      <c r="D24" t="s">
        <v>19</v>
      </c>
      <c r="F24" s="46" t="s">
        <v>18</v>
      </c>
      <c r="G24" s="40">
        <v>0.41249999999999998</v>
      </c>
      <c r="H24" s="40">
        <v>0.31999999999999995</v>
      </c>
      <c r="I24" s="40">
        <v>0.21</v>
      </c>
      <c r="J24" s="40">
        <v>0.31416666666666665</v>
      </c>
      <c r="K24" s="40"/>
      <c r="L24" s="40"/>
      <c r="M24" s="40"/>
      <c r="N24" s="40"/>
      <c r="O24" s="40"/>
      <c r="P24" s="40"/>
      <c r="Q24" s="40"/>
      <c r="R24" s="46">
        <v>2</v>
      </c>
      <c r="S24" s="40">
        <v>0.54437499999999994</v>
      </c>
      <c r="T24" s="40"/>
      <c r="U24" s="40"/>
      <c r="V24" s="40"/>
      <c r="W24" s="40"/>
    </row>
    <row r="25" spans="1:23" x14ac:dyDescent="0.3">
      <c r="A25">
        <v>24</v>
      </c>
      <c r="B25">
        <v>0.28999999999999998</v>
      </c>
      <c r="C25">
        <v>3</v>
      </c>
      <c r="D25" t="s">
        <v>19</v>
      </c>
      <c r="F25" s="46" t="s">
        <v>19</v>
      </c>
      <c r="G25" s="40">
        <v>0.87999999999999989</v>
      </c>
      <c r="H25" s="40">
        <v>0.81499999999999995</v>
      </c>
      <c r="I25" s="40">
        <v>0.33499999999999996</v>
      </c>
      <c r="J25" s="40">
        <v>0.67666666666666664</v>
      </c>
      <c r="K25" s="40"/>
      <c r="L25" s="40"/>
      <c r="M25" s="40"/>
      <c r="N25" s="40"/>
      <c r="O25" s="40"/>
      <c r="P25" s="40"/>
      <c r="Q25" s="40"/>
      <c r="R25" s="46">
        <v>3</v>
      </c>
      <c r="S25" s="40">
        <v>0.27624999999999994</v>
      </c>
      <c r="T25" s="40"/>
      <c r="U25" s="40"/>
      <c r="V25" s="40"/>
      <c r="W25" s="40"/>
    </row>
    <row r="26" spans="1:23" x14ac:dyDescent="0.3">
      <c r="A26">
        <v>25</v>
      </c>
      <c r="B26">
        <v>0.43</v>
      </c>
      <c r="C26">
        <v>1</v>
      </c>
      <c r="D26" t="s">
        <v>20</v>
      </c>
      <c r="F26" s="46" t="s">
        <v>20</v>
      </c>
      <c r="G26" s="40">
        <v>0.5675</v>
      </c>
      <c r="H26" s="40">
        <v>0.375</v>
      </c>
      <c r="I26" s="40">
        <v>0.23499999999999999</v>
      </c>
      <c r="J26" s="40">
        <v>0.39250000000000002</v>
      </c>
      <c r="K26" s="40"/>
      <c r="L26" s="40"/>
      <c r="M26" s="40"/>
      <c r="N26" s="40"/>
      <c r="O26" s="40"/>
      <c r="P26" s="40"/>
      <c r="Q26" s="40"/>
      <c r="R26" s="46" t="s">
        <v>22</v>
      </c>
      <c r="S26" s="40">
        <v>0.47937499999999983</v>
      </c>
      <c r="T26" s="40"/>
      <c r="U26" s="40"/>
      <c r="V26" s="40"/>
      <c r="W26" s="40"/>
    </row>
    <row r="27" spans="1:23" x14ac:dyDescent="0.3">
      <c r="A27">
        <v>26</v>
      </c>
      <c r="B27">
        <v>0.45</v>
      </c>
      <c r="C27">
        <v>1</v>
      </c>
      <c r="D27" t="s">
        <v>20</v>
      </c>
      <c r="F27" s="46" t="s">
        <v>21</v>
      </c>
      <c r="G27" s="40">
        <v>0.61</v>
      </c>
      <c r="H27" s="40">
        <v>0.66749999999999998</v>
      </c>
      <c r="I27" s="40">
        <v>0.32500000000000001</v>
      </c>
      <c r="J27" s="40">
        <v>0.53416666666666657</v>
      </c>
      <c r="K27" s="40"/>
      <c r="L27" s="40"/>
      <c r="M27" s="40"/>
      <c r="N27" s="40"/>
      <c r="O27" s="40"/>
      <c r="P27" s="40"/>
      <c r="Q27" s="40"/>
      <c r="R27" s="40"/>
      <c r="S27" s="40"/>
      <c r="T27" s="40"/>
      <c r="U27" s="40"/>
      <c r="V27" s="40"/>
      <c r="W27" s="40"/>
    </row>
    <row r="28" spans="1:23" x14ac:dyDescent="0.3">
      <c r="A28">
        <v>27</v>
      </c>
      <c r="B28">
        <v>0.63</v>
      </c>
      <c r="C28">
        <v>1</v>
      </c>
      <c r="D28" t="s">
        <v>20</v>
      </c>
      <c r="F28" s="46" t="s">
        <v>22</v>
      </c>
      <c r="G28" s="40">
        <v>0.61749999999999994</v>
      </c>
      <c r="H28" s="40">
        <v>0.54437499999999994</v>
      </c>
      <c r="I28" s="40">
        <v>0.27624999999999994</v>
      </c>
      <c r="J28" s="40">
        <v>0.47937499999999994</v>
      </c>
      <c r="K28" s="40"/>
      <c r="L28" s="40"/>
      <c r="M28" s="40"/>
      <c r="N28" s="40"/>
      <c r="O28" s="40"/>
      <c r="P28" s="40"/>
      <c r="Q28" s="40"/>
      <c r="R28" s="40"/>
      <c r="S28" s="40"/>
      <c r="T28" s="40"/>
      <c r="U28" s="40"/>
      <c r="V28" s="40"/>
      <c r="W28" s="40"/>
    </row>
    <row r="29" spans="1:23" x14ac:dyDescent="0.3">
      <c r="A29">
        <v>28</v>
      </c>
      <c r="B29">
        <v>0.76</v>
      </c>
      <c r="C29">
        <v>1</v>
      </c>
      <c r="D29" t="s">
        <v>20</v>
      </c>
      <c r="F29" s="40"/>
      <c r="G29" s="40"/>
      <c r="H29" s="40"/>
      <c r="I29" s="40"/>
      <c r="J29" s="40"/>
      <c r="K29" s="40"/>
      <c r="L29" s="40"/>
      <c r="M29" s="40"/>
      <c r="N29" s="40"/>
      <c r="O29" s="40"/>
      <c r="P29" s="40"/>
      <c r="Q29" s="40"/>
      <c r="R29" s="40"/>
      <c r="S29" s="40"/>
      <c r="T29" s="40"/>
      <c r="U29" s="40"/>
      <c r="V29" s="40"/>
      <c r="W29" s="40"/>
    </row>
    <row r="30" spans="1:23" x14ac:dyDescent="0.3">
      <c r="A30">
        <v>29</v>
      </c>
      <c r="B30">
        <v>0.44</v>
      </c>
      <c r="C30">
        <v>2</v>
      </c>
      <c r="D30" t="s">
        <v>20</v>
      </c>
      <c r="F30" s="40"/>
      <c r="G30" s="40"/>
      <c r="H30" s="40"/>
      <c r="I30" s="40"/>
      <c r="J30" s="40"/>
      <c r="K30" s="40"/>
      <c r="L30" s="40"/>
      <c r="M30" s="40"/>
      <c r="N30" s="40"/>
      <c r="O30" s="40"/>
      <c r="P30" s="40"/>
      <c r="Q30" s="40"/>
      <c r="R30" s="40"/>
      <c r="S30" s="40"/>
      <c r="T30" s="40"/>
      <c r="U30" s="40"/>
      <c r="V30" s="40"/>
      <c r="W30" s="40"/>
    </row>
    <row r="31" spans="1:23" x14ac:dyDescent="0.3">
      <c r="A31">
        <v>30</v>
      </c>
      <c r="B31">
        <v>0.35</v>
      </c>
      <c r="C31">
        <v>2</v>
      </c>
      <c r="D31" t="s">
        <v>20</v>
      </c>
      <c r="F31" s="40"/>
      <c r="G31" s="40"/>
      <c r="H31" s="40"/>
      <c r="I31" s="40"/>
      <c r="J31" s="40"/>
      <c r="K31" s="40"/>
      <c r="L31" s="40"/>
      <c r="M31" s="40"/>
      <c r="N31" s="40"/>
      <c r="O31" s="40"/>
      <c r="P31" s="40"/>
      <c r="Q31" s="40"/>
      <c r="R31" s="40"/>
      <c r="S31" s="40"/>
      <c r="T31" s="40"/>
      <c r="U31" s="40"/>
      <c r="V31" s="40"/>
      <c r="W31" s="40"/>
    </row>
    <row r="32" spans="1:23" x14ac:dyDescent="0.3">
      <c r="A32">
        <v>31</v>
      </c>
      <c r="B32">
        <v>0.31</v>
      </c>
      <c r="C32">
        <v>2</v>
      </c>
      <c r="D32" t="s">
        <v>20</v>
      </c>
      <c r="F32" s="40"/>
      <c r="G32" s="40"/>
      <c r="H32" s="40"/>
      <c r="I32" s="40"/>
      <c r="J32" s="40"/>
      <c r="K32" s="40"/>
      <c r="L32" s="40"/>
      <c r="M32" s="40"/>
      <c r="N32" s="40"/>
      <c r="O32" s="40"/>
      <c r="P32" s="40"/>
      <c r="Q32" s="40"/>
      <c r="R32" s="40"/>
      <c r="S32" s="40"/>
      <c r="T32" s="40"/>
      <c r="U32" s="40"/>
      <c r="V32" s="40"/>
      <c r="W32" s="40"/>
    </row>
    <row r="33" spans="1:27" x14ac:dyDescent="0.3">
      <c r="A33">
        <v>32</v>
      </c>
      <c r="B33">
        <v>0.4</v>
      </c>
      <c r="C33">
        <v>2</v>
      </c>
      <c r="D33" t="s">
        <v>20</v>
      </c>
      <c r="F33" s="40"/>
      <c r="G33" s="40"/>
      <c r="H33" s="40"/>
      <c r="I33" s="40"/>
      <c r="J33" s="40"/>
      <c r="K33" s="40"/>
      <c r="L33" s="40"/>
      <c r="M33" s="40"/>
      <c r="N33" s="40"/>
      <c r="O33" s="40"/>
      <c r="P33" s="40"/>
      <c r="Q33" s="40"/>
      <c r="R33" s="40"/>
      <c r="S33" s="40"/>
      <c r="T33" s="40"/>
      <c r="U33" s="40"/>
      <c r="V33" s="40"/>
      <c r="W33" s="40"/>
    </row>
    <row r="34" spans="1:27" x14ac:dyDescent="0.3">
      <c r="A34">
        <v>33</v>
      </c>
      <c r="B34">
        <v>0.23</v>
      </c>
      <c r="C34">
        <v>3</v>
      </c>
      <c r="D34" t="s">
        <v>20</v>
      </c>
      <c r="F34" s="40"/>
      <c r="G34" s="40"/>
      <c r="H34" s="40"/>
      <c r="I34" s="40"/>
      <c r="J34" s="40"/>
      <c r="K34" s="40"/>
      <c r="L34" s="40"/>
      <c r="M34" s="40"/>
      <c r="N34" s="40"/>
      <c r="O34" s="40"/>
      <c r="P34" s="40"/>
      <c r="Q34" s="40"/>
      <c r="R34" s="40"/>
      <c r="S34" s="40"/>
      <c r="T34" s="40"/>
      <c r="U34" s="40"/>
      <c r="V34" s="40"/>
      <c r="W34" s="40"/>
    </row>
    <row r="35" spans="1:27" x14ac:dyDescent="0.3">
      <c r="A35">
        <v>34</v>
      </c>
      <c r="B35">
        <v>0.25</v>
      </c>
      <c r="C35">
        <v>3</v>
      </c>
      <c r="D35" t="s">
        <v>20</v>
      </c>
      <c r="F35" s="40"/>
      <c r="G35" s="40"/>
      <c r="H35" s="40"/>
      <c r="I35" s="40"/>
      <c r="J35" s="40"/>
      <c r="K35" s="40"/>
      <c r="L35" s="40"/>
      <c r="M35" s="40"/>
      <c r="N35" s="40"/>
      <c r="O35" s="40"/>
      <c r="P35" s="40"/>
      <c r="Q35" s="40"/>
      <c r="R35" s="40"/>
      <c r="S35" s="40"/>
      <c r="T35" s="40"/>
      <c r="U35" s="40"/>
      <c r="V35" s="40"/>
      <c r="W35" s="40"/>
    </row>
    <row r="36" spans="1:27" x14ac:dyDescent="0.3">
      <c r="A36">
        <v>35</v>
      </c>
      <c r="B36">
        <v>0.24</v>
      </c>
      <c r="C36">
        <v>3</v>
      </c>
      <c r="D36" t="s">
        <v>20</v>
      </c>
      <c r="F36" s="40"/>
      <c r="G36" s="40"/>
      <c r="H36" s="40"/>
      <c r="I36" s="40"/>
      <c r="J36" s="40"/>
      <c r="K36" s="40"/>
      <c r="L36" s="40"/>
      <c r="M36" s="40"/>
      <c r="N36" s="40"/>
      <c r="O36" s="40"/>
      <c r="P36" s="40"/>
      <c r="Q36" s="40"/>
      <c r="R36" s="40"/>
      <c r="S36" s="40"/>
      <c r="T36" s="40"/>
      <c r="U36" s="40"/>
      <c r="V36" s="40"/>
      <c r="W36" s="40"/>
    </row>
    <row r="37" spans="1:27" x14ac:dyDescent="0.3">
      <c r="A37">
        <v>36</v>
      </c>
      <c r="B37">
        <v>0.22</v>
      </c>
      <c r="C37">
        <v>3</v>
      </c>
      <c r="D37" t="s">
        <v>20</v>
      </c>
    </row>
    <row r="38" spans="1:27" x14ac:dyDescent="0.3">
      <c r="A38">
        <v>37</v>
      </c>
      <c r="B38">
        <v>0.45</v>
      </c>
      <c r="C38">
        <v>1</v>
      </c>
      <c r="D38" t="s">
        <v>21</v>
      </c>
    </row>
    <row r="39" spans="1:27" x14ac:dyDescent="0.3">
      <c r="A39">
        <v>38</v>
      </c>
      <c r="B39">
        <v>0.71</v>
      </c>
      <c r="C39">
        <v>1</v>
      </c>
      <c r="D39" t="s">
        <v>21</v>
      </c>
      <c r="F39" s="40"/>
      <c r="G39" s="40"/>
      <c r="H39" s="40"/>
      <c r="I39" s="40"/>
      <c r="J39" s="40"/>
      <c r="K39" s="40"/>
      <c r="L39" s="40"/>
      <c r="M39" s="40"/>
      <c r="N39" s="40"/>
      <c r="O39" s="40"/>
      <c r="P39" s="40"/>
      <c r="Q39" s="40"/>
      <c r="R39" s="40"/>
      <c r="S39" s="40"/>
      <c r="T39" s="40"/>
      <c r="U39" s="40"/>
      <c r="V39" s="40"/>
      <c r="W39" s="40"/>
      <c r="X39" s="40"/>
      <c r="Y39" s="40"/>
      <c r="Z39" s="40"/>
      <c r="AA39" s="40"/>
    </row>
    <row r="40" spans="1:27" x14ac:dyDescent="0.3">
      <c r="A40">
        <v>39</v>
      </c>
      <c r="B40">
        <v>0.66</v>
      </c>
      <c r="C40">
        <v>1</v>
      </c>
      <c r="D40" t="s">
        <v>21</v>
      </c>
      <c r="F40" s="40"/>
      <c r="G40" s="40"/>
      <c r="H40" s="40"/>
      <c r="I40" s="40"/>
      <c r="J40" s="40"/>
      <c r="K40" s="40"/>
      <c r="L40" s="40"/>
      <c r="M40" s="40"/>
      <c r="N40" s="40"/>
      <c r="O40" s="40"/>
      <c r="P40" s="40"/>
      <c r="Q40" s="40"/>
      <c r="R40" s="40"/>
      <c r="S40" s="40"/>
      <c r="T40" s="40"/>
      <c r="U40" s="40"/>
      <c r="V40" s="40"/>
      <c r="W40" s="40"/>
      <c r="X40" s="40"/>
      <c r="Y40" s="40"/>
      <c r="Z40" s="40"/>
      <c r="AA40" s="40"/>
    </row>
    <row r="41" spans="1:27" x14ac:dyDescent="0.3">
      <c r="A41">
        <v>40</v>
      </c>
      <c r="B41">
        <v>0.62</v>
      </c>
      <c r="C41">
        <v>1</v>
      </c>
      <c r="D41" t="s">
        <v>21</v>
      </c>
      <c r="F41" s="40"/>
      <c r="G41" s="40"/>
      <c r="H41" s="40"/>
      <c r="I41" s="40"/>
      <c r="J41" s="40"/>
      <c r="K41" s="40"/>
      <c r="L41" s="40"/>
      <c r="M41" s="40"/>
      <c r="N41" s="40"/>
      <c r="O41" s="40"/>
      <c r="P41" s="40"/>
      <c r="Q41" s="40"/>
      <c r="R41" s="40"/>
      <c r="S41" s="40"/>
      <c r="T41" s="40"/>
      <c r="U41" s="40"/>
      <c r="V41" s="40"/>
      <c r="W41" s="40"/>
      <c r="X41" s="40"/>
      <c r="Y41" s="40"/>
      <c r="Z41" s="40"/>
      <c r="AA41" s="40"/>
    </row>
    <row r="42" spans="1:27" x14ac:dyDescent="0.3">
      <c r="A42">
        <v>41</v>
      </c>
      <c r="B42">
        <v>0.56000000000000005</v>
      </c>
      <c r="C42">
        <v>2</v>
      </c>
      <c r="D42" t="s">
        <v>21</v>
      </c>
      <c r="F42" s="40"/>
      <c r="G42" s="40"/>
      <c r="H42" s="40"/>
      <c r="I42" s="40"/>
      <c r="J42" s="40"/>
      <c r="K42" s="40"/>
      <c r="L42" s="40"/>
      <c r="M42" s="40"/>
      <c r="N42" s="40"/>
      <c r="O42" s="40"/>
      <c r="P42" s="40"/>
      <c r="Q42" s="40"/>
      <c r="R42" s="40"/>
      <c r="S42" s="40"/>
      <c r="T42" s="40"/>
      <c r="U42" s="40"/>
      <c r="V42" s="40"/>
      <c r="W42" s="40"/>
      <c r="X42" s="40"/>
      <c r="Y42" s="40"/>
      <c r="Z42" s="40"/>
      <c r="AA42" s="40"/>
    </row>
    <row r="43" spans="1:27" x14ac:dyDescent="0.3">
      <c r="A43">
        <v>42</v>
      </c>
      <c r="B43">
        <v>1.02</v>
      </c>
      <c r="C43">
        <v>2</v>
      </c>
      <c r="D43" t="s">
        <v>21</v>
      </c>
      <c r="F43" s="40"/>
      <c r="G43" s="40"/>
      <c r="H43" s="40"/>
      <c r="I43" s="40"/>
      <c r="J43" s="40"/>
      <c r="K43" s="40"/>
      <c r="L43" s="40"/>
      <c r="M43" s="40"/>
      <c r="N43" s="40"/>
      <c r="O43" s="40"/>
      <c r="P43" s="40"/>
      <c r="Q43" s="40"/>
      <c r="R43" s="40"/>
      <c r="S43" s="40"/>
      <c r="T43" s="40"/>
      <c r="U43" s="40"/>
      <c r="V43" s="40"/>
      <c r="W43" s="40"/>
      <c r="X43" s="40"/>
      <c r="Y43" s="40"/>
      <c r="Z43" s="40"/>
      <c r="AA43" s="40"/>
    </row>
    <row r="44" spans="1:27" x14ac:dyDescent="0.3">
      <c r="A44">
        <v>43</v>
      </c>
      <c r="B44">
        <v>0.71</v>
      </c>
      <c r="C44">
        <v>2</v>
      </c>
      <c r="D44" t="s">
        <v>21</v>
      </c>
      <c r="F44" s="40"/>
      <c r="G44" s="40"/>
      <c r="H44" s="40"/>
      <c r="I44" s="40"/>
      <c r="J44" s="40"/>
      <c r="K44" s="40"/>
      <c r="L44" s="40"/>
      <c r="M44" s="40"/>
      <c r="N44" s="40"/>
      <c r="O44" s="40"/>
      <c r="P44" s="40"/>
      <c r="Q44" s="40"/>
      <c r="R44" s="40"/>
      <c r="S44" s="40"/>
      <c r="T44" s="40"/>
      <c r="U44" s="40"/>
      <c r="V44" s="40"/>
      <c r="W44" s="40"/>
      <c r="X44" s="40"/>
      <c r="Y44" s="40"/>
      <c r="Z44" s="40"/>
      <c r="AA44" s="40"/>
    </row>
    <row r="45" spans="1:27" x14ac:dyDescent="0.3">
      <c r="A45">
        <v>44</v>
      </c>
      <c r="B45">
        <v>0.38</v>
      </c>
      <c r="C45">
        <v>2</v>
      </c>
      <c r="D45" t="s">
        <v>21</v>
      </c>
      <c r="F45" s="67" t="s">
        <v>44</v>
      </c>
      <c r="G45" s="67" t="s">
        <v>45</v>
      </c>
      <c r="H45" s="66" t="s">
        <v>46</v>
      </c>
      <c r="I45" s="40"/>
      <c r="J45" s="40"/>
      <c r="K45" s="40"/>
      <c r="L45" s="40"/>
      <c r="M45" s="40"/>
      <c r="N45" s="40"/>
      <c r="O45" s="40"/>
      <c r="P45" s="40"/>
      <c r="Q45" s="40"/>
      <c r="R45" s="40"/>
      <c r="S45" s="40"/>
      <c r="T45" s="40"/>
      <c r="U45" s="40"/>
      <c r="V45" s="40"/>
      <c r="W45" s="40"/>
      <c r="X45" s="40"/>
      <c r="Y45" s="40"/>
      <c r="Z45" s="40"/>
      <c r="AA45" s="40"/>
    </row>
    <row r="46" spans="1:27" x14ac:dyDescent="0.3">
      <c r="A46">
        <v>45</v>
      </c>
      <c r="B46">
        <v>0.3</v>
      </c>
      <c r="C46">
        <v>3</v>
      </c>
      <c r="D46" t="s">
        <v>21</v>
      </c>
      <c r="F46" s="68">
        <v>0.31</v>
      </c>
      <c r="G46" s="69">
        <v>0.36</v>
      </c>
      <c r="H46" s="70">
        <v>0.22</v>
      </c>
      <c r="I46" s="40"/>
      <c r="J46" s="40"/>
      <c r="K46" s="40"/>
      <c r="L46" s="40"/>
      <c r="M46" s="40"/>
      <c r="N46" s="40"/>
      <c r="O46" s="40"/>
      <c r="P46" s="40"/>
      <c r="Q46" s="40"/>
      <c r="R46" s="40"/>
      <c r="S46" s="40"/>
      <c r="T46" s="40"/>
      <c r="U46" s="40"/>
      <c r="V46" s="40"/>
      <c r="W46" s="40"/>
      <c r="X46" s="40"/>
      <c r="Y46" s="40"/>
      <c r="Z46" s="40"/>
      <c r="AA46" s="40"/>
    </row>
    <row r="47" spans="1:27" x14ac:dyDescent="0.3">
      <c r="A47">
        <v>46</v>
      </c>
      <c r="B47">
        <v>0.36</v>
      </c>
      <c r="C47">
        <v>3</v>
      </c>
      <c r="D47" t="s">
        <v>21</v>
      </c>
      <c r="F47" s="68">
        <v>0.45</v>
      </c>
      <c r="G47" s="69">
        <v>0.28999999999999998</v>
      </c>
      <c r="H47" s="70">
        <v>0.21</v>
      </c>
      <c r="I47" s="40"/>
      <c r="J47" s="40"/>
      <c r="K47" s="40"/>
      <c r="L47" s="40"/>
      <c r="M47" s="40"/>
      <c r="N47" s="40"/>
      <c r="O47" s="40"/>
      <c r="P47" s="40"/>
      <c r="Q47" s="40"/>
      <c r="R47" s="40"/>
      <c r="S47" s="40"/>
      <c r="T47" s="40"/>
      <c r="U47" s="40"/>
      <c r="V47" s="40"/>
      <c r="W47" s="40"/>
      <c r="X47" s="40"/>
      <c r="Y47" s="40"/>
      <c r="Z47" s="40"/>
      <c r="AA47" s="40"/>
    </row>
    <row r="48" spans="1:27" x14ac:dyDescent="0.3">
      <c r="A48">
        <v>47</v>
      </c>
      <c r="B48">
        <v>0.31</v>
      </c>
      <c r="C48">
        <v>3</v>
      </c>
      <c r="D48" t="s">
        <v>21</v>
      </c>
      <c r="F48" s="68">
        <v>0.46</v>
      </c>
      <c r="G48" s="69">
        <v>0.4</v>
      </c>
      <c r="H48" s="70">
        <v>0.18</v>
      </c>
      <c r="I48" s="40"/>
      <c r="J48" s="40"/>
      <c r="K48" s="40"/>
      <c r="L48" s="40"/>
      <c r="M48" s="40"/>
      <c r="N48" s="40"/>
      <c r="O48" s="40"/>
      <c r="P48" s="40"/>
      <c r="Q48" s="40"/>
      <c r="R48" s="40"/>
      <c r="S48" s="40"/>
      <c r="T48" s="40"/>
      <c r="U48" s="40"/>
      <c r="V48" s="40"/>
      <c r="W48" s="40"/>
      <c r="X48" s="40"/>
      <c r="Y48" s="40"/>
      <c r="Z48" s="40"/>
      <c r="AA48" s="40"/>
    </row>
    <row r="49" spans="1:27" x14ac:dyDescent="0.3">
      <c r="A49">
        <v>48</v>
      </c>
      <c r="B49">
        <v>0.33</v>
      </c>
      <c r="C49">
        <v>3</v>
      </c>
      <c r="D49" t="s">
        <v>21</v>
      </c>
      <c r="F49" s="68">
        <v>0.43</v>
      </c>
      <c r="G49" s="69">
        <v>0.23</v>
      </c>
      <c r="H49" s="70">
        <v>0.23</v>
      </c>
      <c r="I49" s="40"/>
      <c r="J49" s="40"/>
      <c r="K49" s="40"/>
      <c r="L49" s="40"/>
      <c r="M49" s="40"/>
      <c r="N49" s="40"/>
      <c r="O49" s="40"/>
      <c r="P49" s="40"/>
      <c r="Q49" s="40"/>
      <c r="R49" s="40"/>
      <c r="S49" s="40"/>
      <c r="T49" s="40"/>
      <c r="U49" s="40"/>
      <c r="V49" s="40"/>
      <c r="W49" s="40"/>
      <c r="X49" s="40"/>
      <c r="Y49" s="40"/>
      <c r="Z49" s="40"/>
      <c r="AA49" s="40"/>
    </row>
    <row r="50" spans="1:27" x14ac:dyDescent="0.3">
      <c r="F50" s="68">
        <v>0.82</v>
      </c>
      <c r="G50" s="69">
        <v>0.92</v>
      </c>
      <c r="H50" s="70">
        <v>0.3</v>
      </c>
      <c r="I50" s="40"/>
      <c r="J50" s="40"/>
      <c r="K50" s="40"/>
      <c r="L50" s="40"/>
      <c r="M50" s="40"/>
      <c r="N50" s="40"/>
      <c r="O50" s="40"/>
      <c r="P50" s="40"/>
      <c r="Q50" s="40"/>
      <c r="R50" s="40"/>
      <c r="S50" s="40"/>
      <c r="T50" s="40"/>
      <c r="U50" s="40"/>
      <c r="V50" s="40"/>
      <c r="W50" s="40"/>
      <c r="X50" s="40"/>
      <c r="Y50" s="40"/>
      <c r="Z50" s="40"/>
      <c r="AA50" s="40"/>
    </row>
    <row r="51" spans="1:27" x14ac:dyDescent="0.3">
      <c r="F51" s="68">
        <v>1.1000000000000001</v>
      </c>
      <c r="G51" s="69">
        <v>0.61</v>
      </c>
      <c r="H51" s="70">
        <v>0.37</v>
      </c>
      <c r="I51" s="40"/>
      <c r="J51" s="40"/>
      <c r="K51" s="40"/>
      <c r="L51" s="40"/>
      <c r="M51" s="40"/>
      <c r="N51" s="40"/>
      <c r="O51" s="40"/>
      <c r="P51" s="40"/>
      <c r="Q51" s="40"/>
      <c r="R51" s="40"/>
      <c r="S51" s="40"/>
      <c r="T51" s="40"/>
      <c r="U51" s="40"/>
      <c r="V51" s="40"/>
      <c r="W51" s="40"/>
      <c r="X51" s="40"/>
      <c r="Y51" s="40"/>
      <c r="Z51" s="40"/>
      <c r="AA51" s="40"/>
    </row>
    <row r="52" spans="1:27" x14ac:dyDescent="0.3">
      <c r="F52" s="68">
        <v>0.88</v>
      </c>
      <c r="G52" s="69">
        <v>0.49</v>
      </c>
      <c r="H52" s="70">
        <v>0.38</v>
      </c>
      <c r="I52" s="40"/>
      <c r="J52" s="40"/>
      <c r="K52" s="40"/>
      <c r="L52" s="40"/>
      <c r="M52" s="40"/>
      <c r="N52" s="40"/>
      <c r="O52" s="40"/>
      <c r="P52" s="40"/>
      <c r="Q52" s="40"/>
      <c r="R52" s="40"/>
      <c r="S52" s="40"/>
      <c r="T52" s="40"/>
      <c r="U52" s="40"/>
      <c r="V52" s="40"/>
      <c r="W52" s="40"/>
      <c r="X52" s="40"/>
      <c r="Y52" s="40"/>
      <c r="Z52" s="40"/>
      <c r="AA52" s="40"/>
    </row>
    <row r="53" spans="1:27" x14ac:dyDescent="0.3">
      <c r="F53" s="68">
        <v>0.72</v>
      </c>
      <c r="G53" s="69">
        <v>1.24</v>
      </c>
      <c r="H53" s="70">
        <v>0.28999999999999998</v>
      </c>
      <c r="I53" s="40"/>
      <c r="J53" s="40"/>
      <c r="K53" s="40"/>
      <c r="L53" s="40"/>
      <c r="M53" s="40"/>
      <c r="N53" s="40"/>
      <c r="O53" s="40"/>
      <c r="P53" s="40"/>
      <c r="Q53" s="40"/>
      <c r="R53" s="40"/>
      <c r="S53" s="40"/>
      <c r="T53" s="40"/>
      <c r="U53" s="40"/>
      <c r="V53" s="40"/>
      <c r="W53" s="40"/>
      <c r="X53" s="40"/>
      <c r="Y53" s="40"/>
      <c r="Z53" s="40"/>
      <c r="AA53" s="40"/>
    </row>
    <row r="54" spans="1:27" x14ac:dyDescent="0.3">
      <c r="F54" s="68">
        <v>0.43</v>
      </c>
      <c r="G54" s="69">
        <v>0.44</v>
      </c>
      <c r="H54" s="70">
        <v>0.23</v>
      </c>
      <c r="I54" s="40"/>
      <c r="J54" s="40"/>
      <c r="K54" s="40"/>
      <c r="L54" s="40"/>
      <c r="M54" s="40"/>
      <c r="N54" s="40"/>
      <c r="O54" s="40"/>
      <c r="P54" s="49" t="s">
        <v>26</v>
      </c>
      <c r="Q54" s="49"/>
      <c r="R54" s="49"/>
      <c r="S54" s="40"/>
      <c r="T54" s="40"/>
      <c r="U54" s="40"/>
      <c r="V54" s="40"/>
      <c r="W54" s="40"/>
      <c r="X54" s="40"/>
      <c r="Y54" s="40"/>
      <c r="Z54" s="40"/>
      <c r="AA54" s="40"/>
    </row>
    <row r="55" spans="1:27" x14ac:dyDescent="0.3">
      <c r="F55" s="68">
        <v>0.45</v>
      </c>
      <c r="G55" s="69">
        <v>0.35</v>
      </c>
      <c r="H55" s="70">
        <v>0.25</v>
      </c>
      <c r="I55" s="40"/>
      <c r="J55" s="40"/>
      <c r="K55" s="40"/>
      <c r="L55" s="40"/>
      <c r="M55" s="40"/>
      <c r="N55" s="40"/>
      <c r="O55" s="50"/>
      <c r="P55" s="51">
        <v>1</v>
      </c>
      <c r="Q55" s="51">
        <v>2</v>
      </c>
      <c r="R55" s="51">
        <v>3</v>
      </c>
      <c r="S55" s="40"/>
      <c r="T55" s="40"/>
      <c r="U55" s="40"/>
      <c r="V55" s="40"/>
      <c r="W55" s="40"/>
      <c r="X55" s="40"/>
      <c r="Y55" s="40"/>
      <c r="Z55" s="40"/>
      <c r="AA55" s="40"/>
    </row>
    <row r="56" spans="1:27" ht="14.4" customHeight="1" x14ac:dyDescent="0.3">
      <c r="F56" s="68">
        <v>0.63</v>
      </c>
      <c r="G56" s="69">
        <v>0.31</v>
      </c>
      <c r="H56" s="70">
        <v>0.24</v>
      </c>
      <c r="I56" s="40"/>
      <c r="J56" s="40"/>
      <c r="K56" s="40"/>
      <c r="L56" s="40"/>
      <c r="M56" s="40"/>
      <c r="N56" s="52" t="s">
        <v>47</v>
      </c>
      <c r="O56" s="63" t="s">
        <v>18</v>
      </c>
      <c r="P56" s="48">
        <v>0.31</v>
      </c>
      <c r="Q56" s="48">
        <v>0.36</v>
      </c>
      <c r="R56" s="48">
        <v>0.22</v>
      </c>
      <c r="S56" s="40"/>
      <c r="T56" s="40"/>
      <c r="U56" s="40"/>
      <c r="V56" s="40"/>
      <c r="W56" s="40"/>
      <c r="X56" s="40"/>
      <c r="Y56" s="40"/>
      <c r="Z56" s="40"/>
      <c r="AA56" s="40"/>
    </row>
    <row r="57" spans="1:27" x14ac:dyDescent="0.3">
      <c r="F57" s="68">
        <v>0.76</v>
      </c>
      <c r="G57" s="69">
        <v>0.4</v>
      </c>
      <c r="H57" s="70">
        <v>0.22</v>
      </c>
      <c r="I57" s="40"/>
      <c r="J57" s="40"/>
      <c r="K57" s="40"/>
      <c r="L57" s="40"/>
      <c r="M57" s="40"/>
      <c r="N57" s="52"/>
      <c r="O57" s="64"/>
      <c r="P57" s="48">
        <v>0.45</v>
      </c>
      <c r="Q57" s="48">
        <v>0.28999999999999998</v>
      </c>
      <c r="R57" s="48">
        <v>0.21</v>
      </c>
      <c r="S57" s="40"/>
      <c r="T57" s="40"/>
      <c r="U57" s="40"/>
      <c r="V57" s="40"/>
      <c r="W57" s="40"/>
      <c r="X57" s="40"/>
      <c r="Y57" s="40"/>
      <c r="Z57" s="40"/>
      <c r="AA57" s="40"/>
    </row>
    <row r="58" spans="1:27" x14ac:dyDescent="0.3">
      <c r="F58" s="68">
        <v>0.45</v>
      </c>
      <c r="G58" s="69">
        <v>0.56000000000000005</v>
      </c>
      <c r="H58" s="70">
        <v>0.3</v>
      </c>
      <c r="I58" s="40"/>
      <c r="J58" s="40"/>
      <c r="K58" s="40"/>
      <c r="L58" s="40"/>
      <c r="M58" s="40"/>
      <c r="N58" s="52"/>
      <c r="O58" s="64"/>
      <c r="P58" s="48">
        <v>0.46</v>
      </c>
      <c r="Q58" s="48">
        <v>0.4</v>
      </c>
      <c r="R58" s="48">
        <v>0.18</v>
      </c>
      <c r="S58" s="40"/>
      <c r="T58" s="40"/>
      <c r="U58" s="40"/>
      <c r="V58" s="40"/>
      <c r="W58" s="40"/>
      <c r="X58" s="40"/>
      <c r="Y58" s="40"/>
      <c r="Z58" s="40"/>
      <c r="AA58" s="40"/>
    </row>
    <row r="59" spans="1:27" x14ac:dyDescent="0.3">
      <c r="F59" s="68">
        <v>0.71</v>
      </c>
      <c r="G59" s="69">
        <v>1.02</v>
      </c>
      <c r="H59" s="70">
        <v>0.36</v>
      </c>
      <c r="I59" s="40"/>
      <c r="J59" s="40"/>
      <c r="K59" s="40"/>
      <c r="L59" s="40"/>
      <c r="M59" s="40"/>
      <c r="N59" s="52"/>
      <c r="O59" s="65"/>
      <c r="P59" s="48">
        <v>0.43</v>
      </c>
      <c r="Q59" s="48">
        <v>0.23</v>
      </c>
      <c r="R59" s="48">
        <v>0.23</v>
      </c>
      <c r="S59" s="40"/>
      <c r="T59" s="40"/>
      <c r="U59" s="40"/>
      <c r="V59" s="40"/>
      <c r="W59" s="40"/>
      <c r="X59" s="40"/>
      <c r="Y59" s="40"/>
      <c r="Z59" s="40"/>
      <c r="AA59" s="40"/>
    </row>
    <row r="60" spans="1:27" x14ac:dyDescent="0.3">
      <c r="F60" s="68">
        <v>0.66</v>
      </c>
      <c r="G60" s="69">
        <v>0.71</v>
      </c>
      <c r="H60" s="70">
        <v>0.31</v>
      </c>
      <c r="I60" s="40"/>
      <c r="J60" s="40"/>
      <c r="K60" s="40"/>
      <c r="L60" s="40"/>
      <c r="M60" s="40"/>
      <c r="N60" s="52"/>
      <c r="O60" s="63" t="s">
        <v>19</v>
      </c>
      <c r="P60" s="48">
        <v>0.82</v>
      </c>
      <c r="Q60" s="48">
        <v>0.92</v>
      </c>
      <c r="R60" s="48">
        <v>0.3</v>
      </c>
      <c r="S60" s="40"/>
      <c r="T60" s="40"/>
      <c r="U60" s="40"/>
      <c r="V60" s="40"/>
      <c r="W60" s="40"/>
      <c r="X60" s="40"/>
      <c r="Y60" s="40"/>
      <c r="Z60" s="40"/>
      <c r="AA60" s="40"/>
    </row>
    <row r="61" spans="1:27" x14ac:dyDescent="0.3">
      <c r="F61" s="71">
        <v>0.62</v>
      </c>
      <c r="G61" s="72">
        <v>0.38</v>
      </c>
      <c r="H61" s="73">
        <v>0.33</v>
      </c>
      <c r="I61" s="40"/>
      <c r="J61" s="40"/>
      <c r="K61" s="40"/>
      <c r="L61" s="40"/>
      <c r="M61" s="40"/>
      <c r="N61" s="52"/>
      <c r="O61" s="64"/>
      <c r="P61" s="48">
        <v>1.1000000000000001</v>
      </c>
      <c r="Q61" s="48">
        <v>0.61</v>
      </c>
      <c r="R61" s="48">
        <v>0.37</v>
      </c>
      <c r="S61" s="40"/>
      <c r="T61" s="40"/>
      <c r="U61" s="40"/>
      <c r="V61" s="40"/>
      <c r="W61" s="40"/>
      <c r="X61" s="40"/>
      <c r="Y61" s="40"/>
      <c r="Z61" s="40"/>
      <c r="AA61" s="40"/>
    </row>
    <row r="62" spans="1:27" x14ac:dyDescent="0.3">
      <c r="F62" s="40"/>
      <c r="G62" s="40"/>
      <c r="H62" s="40"/>
      <c r="I62" s="40"/>
      <c r="J62" s="40"/>
      <c r="K62" s="40"/>
      <c r="L62" s="40"/>
      <c r="M62" s="40"/>
      <c r="N62" s="52"/>
      <c r="O62" s="64"/>
      <c r="P62" s="48">
        <v>0.88</v>
      </c>
      <c r="Q62" s="48">
        <v>0.49</v>
      </c>
      <c r="R62" s="48">
        <v>0.38</v>
      </c>
      <c r="S62" s="40"/>
      <c r="T62" s="40"/>
      <c r="U62" s="40"/>
      <c r="V62" s="40"/>
      <c r="W62" s="40"/>
      <c r="X62" s="40"/>
      <c r="Y62" s="40"/>
      <c r="Z62" s="40"/>
      <c r="AA62" s="40"/>
    </row>
    <row r="63" spans="1:27" x14ac:dyDescent="0.3">
      <c r="F63" s="40" t="s">
        <v>28</v>
      </c>
      <c r="G63" s="40"/>
      <c r="H63" s="40"/>
      <c r="I63" s="40"/>
      <c r="J63" s="40"/>
      <c r="K63" s="40"/>
      <c r="L63" s="40"/>
      <c r="M63" s="40"/>
      <c r="N63" s="52"/>
      <c r="O63" s="65"/>
      <c r="P63" s="48">
        <v>0.72</v>
      </c>
      <c r="Q63" s="48">
        <v>1.24</v>
      </c>
      <c r="R63" s="48">
        <v>0.28999999999999998</v>
      </c>
      <c r="S63" s="40"/>
      <c r="T63" s="40"/>
      <c r="U63" s="40"/>
      <c r="V63" s="40"/>
      <c r="W63" s="40"/>
      <c r="X63" s="40"/>
      <c r="Y63" s="40"/>
      <c r="Z63" s="40"/>
      <c r="AA63" s="40"/>
    </row>
    <row r="64" spans="1:27" x14ac:dyDescent="0.3">
      <c r="F64" s="40"/>
      <c r="G64" s="40"/>
      <c r="H64" s="40"/>
      <c r="I64" s="40"/>
      <c r="J64" s="40"/>
      <c r="K64" s="40"/>
      <c r="L64" s="40"/>
      <c r="M64" s="40"/>
      <c r="N64" s="52"/>
      <c r="O64" s="63" t="s">
        <v>20</v>
      </c>
      <c r="P64" s="48">
        <v>0.43</v>
      </c>
      <c r="Q64" s="48">
        <v>0.44</v>
      </c>
      <c r="R64" s="48">
        <v>0.23</v>
      </c>
      <c r="S64" s="40"/>
      <c r="T64" s="40"/>
      <c r="U64" s="40"/>
      <c r="V64" s="40"/>
      <c r="W64" s="40"/>
      <c r="X64" s="40"/>
      <c r="Y64" s="40"/>
      <c r="Z64" s="40"/>
      <c r="AA64" s="40"/>
    </row>
    <row r="65" spans="6:27" ht="15" thickBot="1" x14ac:dyDescent="0.35">
      <c r="F65" s="40" t="s">
        <v>29</v>
      </c>
      <c r="G65" s="40"/>
      <c r="H65" s="40"/>
      <c r="I65" s="40"/>
      <c r="J65" s="40"/>
      <c r="K65" s="40"/>
      <c r="L65" s="40"/>
      <c r="M65" s="40"/>
      <c r="N65" s="52"/>
      <c r="O65" s="64"/>
      <c r="P65" s="48">
        <v>0.45</v>
      </c>
      <c r="Q65" s="48">
        <v>0.35</v>
      </c>
      <c r="R65" s="48">
        <v>0.25</v>
      </c>
      <c r="S65" s="40"/>
      <c r="T65" s="40"/>
      <c r="U65" s="40"/>
      <c r="V65" s="40"/>
      <c r="W65" s="40"/>
      <c r="X65" s="40"/>
      <c r="Y65" s="40"/>
      <c r="Z65" s="40"/>
      <c r="AA65" s="40"/>
    </row>
    <row r="66" spans="6:27" x14ac:dyDescent="0.3">
      <c r="F66" s="41" t="s">
        <v>30</v>
      </c>
      <c r="G66" s="41" t="s">
        <v>16</v>
      </c>
      <c r="H66" s="41" t="s">
        <v>15</v>
      </c>
      <c r="I66" s="41" t="s">
        <v>31</v>
      </c>
      <c r="J66" s="41" t="s">
        <v>32</v>
      </c>
      <c r="K66" s="40"/>
      <c r="L66" s="40"/>
      <c r="M66" s="40"/>
      <c r="N66" s="52"/>
      <c r="O66" s="64"/>
      <c r="P66" s="48">
        <v>0.63</v>
      </c>
      <c r="Q66" s="48">
        <v>0.31</v>
      </c>
      <c r="R66" s="48">
        <v>0.24</v>
      </c>
      <c r="S66" s="40"/>
      <c r="T66" s="40"/>
      <c r="U66" s="40"/>
      <c r="V66" s="40"/>
      <c r="W66" s="40"/>
      <c r="X66" s="40"/>
      <c r="Y66" s="40"/>
      <c r="Z66" s="40"/>
      <c r="AA66" s="40"/>
    </row>
    <row r="67" spans="6:27" x14ac:dyDescent="0.3">
      <c r="F67" s="40" t="s">
        <v>44</v>
      </c>
      <c r="G67" s="40">
        <v>16</v>
      </c>
      <c r="H67" s="40">
        <v>9.879999999999999</v>
      </c>
      <c r="I67" s="40">
        <v>0.61749999999999994</v>
      </c>
      <c r="J67" s="40">
        <v>4.3860000000000038E-2</v>
      </c>
      <c r="K67" s="40"/>
      <c r="L67" s="40"/>
      <c r="M67" s="40"/>
      <c r="N67" s="52"/>
      <c r="O67" s="65"/>
      <c r="P67" s="48">
        <v>0.76</v>
      </c>
      <c r="Q67" s="48">
        <v>0.4</v>
      </c>
      <c r="R67" s="48">
        <v>0.22</v>
      </c>
      <c r="S67" s="40"/>
      <c r="T67" s="40"/>
      <c r="U67" s="40"/>
      <c r="V67" s="40"/>
      <c r="W67" s="40"/>
      <c r="X67" s="40"/>
      <c r="Y67" s="40"/>
      <c r="Z67" s="40"/>
      <c r="AA67" s="40"/>
    </row>
    <row r="68" spans="6:27" x14ac:dyDescent="0.3">
      <c r="F68" s="40" t="s">
        <v>45</v>
      </c>
      <c r="G68" s="40">
        <v>16</v>
      </c>
      <c r="H68" s="40">
        <v>8.7099999999999991</v>
      </c>
      <c r="I68" s="40">
        <v>0.54437499999999994</v>
      </c>
      <c r="J68" s="40">
        <v>8.3732916666666782E-2</v>
      </c>
      <c r="K68" s="40"/>
      <c r="L68" s="40"/>
      <c r="M68" s="40"/>
      <c r="N68" s="52"/>
      <c r="O68" s="63" t="s">
        <v>21</v>
      </c>
      <c r="P68" s="48">
        <v>0.45</v>
      </c>
      <c r="Q68" s="48">
        <v>0.56000000000000005</v>
      </c>
      <c r="R68" s="48">
        <v>0.3</v>
      </c>
      <c r="S68" s="40"/>
      <c r="T68" s="40"/>
      <c r="U68" s="40"/>
      <c r="V68" s="40"/>
      <c r="W68" s="40"/>
      <c r="X68" s="40"/>
      <c r="Y68" s="40"/>
      <c r="Z68" s="40"/>
      <c r="AA68" s="40"/>
    </row>
    <row r="69" spans="6:27" ht="15" thickBot="1" x14ac:dyDescent="0.35">
      <c r="F69" s="47" t="s">
        <v>46</v>
      </c>
      <c r="G69" s="47">
        <v>16</v>
      </c>
      <c r="H69" s="47">
        <v>4.419999999999999</v>
      </c>
      <c r="I69" s="47">
        <v>0.27624999999999994</v>
      </c>
      <c r="J69" s="47">
        <v>3.8783333333333686E-3</v>
      </c>
      <c r="K69" s="40"/>
      <c r="L69" s="40"/>
      <c r="M69" s="40"/>
      <c r="N69" s="52"/>
      <c r="O69" s="64"/>
      <c r="P69" s="48">
        <v>0.71</v>
      </c>
      <c r="Q69" s="48">
        <v>1.02</v>
      </c>
      <c r="R69" s="48">
        <v>0.36</v>
      </c>
      <c r="S69" s="40"/>
      <c r="T69" s="40"/>
      <c r="U69" s="40"/>
      <c r="V69" s="40"/>
      <c r="W69" s="40"/>
      <c r="X69" s="40"/>
      <c r="Y69" s="40"/>
      <c r="Z69" s="40"/>
      <c r="AA69" s="40"/>
    </row>
    <row r="70" spans="6:27" x14ac:dyDescent="0.3">
      <c r="F70" s="40"/>
      <c r="G70" s="40"/>
      <c r="H70" s="40"/>
      <c r="I70" s="40"/>
      <c r="J70" s="40"/>
      <c r="K70" s="40"/>
      <c r="L70" s="40"/>
      <c r="M70" s="40"/>
      <c r="N70" s="52"/>
      <c r="O70" s="64"/>
      <c r="P70" s="48">
        <v>0.66</v>
      </c>
      <c r="Q70" s="48">
        <v>0.71</v>
      </c>
      <c r="R70" s="48">
        <v>0.31</v>
      </c>
      <c r="S70" s="40"/>
      <c r="T70" s="40"/>
      <c r="U70" s="40"/>
      <c r="V70" s="40"/>
      <c r="W70" s="40"/>
      <c r="X70" s="40"/>
      <c r="Y70" s="40"/>
      <c r="Z70" s="40"/>
      <c r="AA70" s="40"/>
    </row>
    <row r="71" spans="6:27" x14ac:dyDescent="0.3">
      <c r="F71" s="40"/>
      <c r="G71" s="40"/>
      <c r="H71" s="40"/>
      <c r="I71" s="40"/>
      <c r="J71" s="40"/>
      <c r="K71" s="40"/>
      <c r="L71" s="40"/>
      <c r="M71" s="40"/>
      <c r="N71" s="52"/>
      <c r="O71" s="65"/>
      <c r="P71" s="48">
        <v>0.62</v>
      </c>
      <c r="Q71" s="48">
        <v>0.38</v>
      </c>
      <c r="R71" s="48">
        <v>0.33</v>
      </c>
      <c r="S71" s="40"/>
      <c r="T71" s="40"/>
      <c r="U71" s="40"/>
      <c r="V71" s="40"/>
      <c r="W71" s="40"/>
      <c r="X71" s="40"/>
      <c r="Y71" s="40"/>
      <c r="Z71" s="40"/>
      <c r="AA71" s="40"/>
    </row>
    <row r="72" spans="6:27" ht="15" thickBot="1" x14ac:dyDescent="0.35">
      <c r="F72" s="40" t="s">
        <v>33</v>
      </c>
      <c r="G72" s="40"/>
      <c r="H72" s="40"/>
      <c r="I72" s="40"/>
      <c r="J72" s="40"/>
      <c r="K72" s="40"/>
      <c r="L72" s="40"/>
      <c r="M72" s="40"/>
      <c r="N72" s="40"/>
      <c r="O72" s="40"/>
      <c r="P72" s="40"/>
      <c r="Q72" s="40"/>
      <c r="R72" s="40"/>
      <c r="S72" s="40"/>
      <c r="T72" s="40"/>
      <c r="U72" s="40"/>
      <c r="V72" s="40"/>
      <c r="W72" s="40"/>
      <c r="X72" s="40"/>
      <c r="Y72" s="40"/>
      <c r="Z72" s="40"/>
      <c r="AA72" s="40"/>
    </row>
    <row r="73" spans="6:27" x14ac:dyDescent="0.3">
      <c r="F73" s="41" t="s">
        <v>34</v>
      </c>
      <c r="G73" s="41" t="s">
        <v>35</v>
      </c>
      <c r="H73" s="41" t="s">
        <v>36</v>
      </c>
      <c r="I73" s="41" t="s">
        <v>37</v>
      </c>
      <c r="J73" s="41" t="s">
        <v>38</v>
      </c>
      <c r="K73" s="41" t="s">
        <v>39</v>
      </c>
      <c r="L73" s="41" t="s">
        <v>40</v>
      </c>
      <c r="M73" s="40"/>
      <c r="N73" s="40" t="s">
        <v>48</v>
      </c>
      <c r="O73" s="40"/>
      <c r="P73" s="40"/>
      <c r="Q73" s="40"/>
      <c r="R73" s="40"/>
      <c r="S73" s="40"/>
      <c r="T73" s="40"/>
      <c r="U73" s="40"/>
      <c r="V73" s="40"/>
      <c r="W73" s="40"/>
      <c r="X73" s="40"/>
      <c r="Y73" s="40"/>
      <c r="Z73" s="40"/>
      <c r="AA73" s="40"/>
    </row>
    <row r="74" spans="6:27" x14ac:dyDescent="0.3">
      <c r="F74" s="40" t="s">
        <v>41</v>
      </c>
      <c r="G74" s="40">
        <v>1.0330124999999992</v>
      </c>
      <c r="H74" s="40">
        <v>2</v>
      </c>
      <c r="I74" s="40">
        <v>0.51650624999999961</v>
      </c>
      <c r="J74" s="40">
        <v>11.7859893322684</v>
      </c>
      <c r="K74" s="40">
        <v>7.6556351851759198E-5</v>
      </c>
      <c r="L74" s="40">
        <v>3.2043172921141898</v>
      </c>
      <c r="M74" s="40"/>
      <c r="N74" s="40"/>
      <c r="O74" s="40"/>
      <c r="P74" s="40"/>
      <c r="Q74" s="40"/>
      <c r="R74" s="40"/>
      <c r="S74" s="40"/>
      <c r="T74" s="40"/>
      <c r="U74" s="40"/>
      <c r="V74" s="40"/>
      <c r="W74" s="40"/>
      <c r="X74" s="40"/>
      <c r="Y74" s="40"/>
      <c r="Z74" s="40"/>
      <c r="AA74" s="40"/>
    </row>
    <row r="75" spans="6:27" x14ac:dyDescent="0.3">
      <c r="F75" s="40" t="s">
        <v>42</v>
      </c>
      <c r="G75" s="40">
        <v>1.9720687500000003</v>
      </c>
      <c r="H75" s="40">
        <v>45</v>
      </c>
      <c r="I75" s="40">
        <v>4.3823750000000009E-2</v>
      </c>
      <c r="J75" s="40"/>
      <c r="K75" s="40"/>
      <c r="L75" s="40"/>
      <c r="M75" s="40"/>
      <c r="N75" s="40" t="s">
        <v>29</v>
      </c>
      <c r="O75" s="40">
        <v>1</v>
      </c>
      <c r="P75" s="40">
        <v>2</v>
      </c>
      <c r="Q75" s="40">
        <v>3</v>
      </c>
      <c r="R75" s="40" t="s">
        <v>43</v>
      </c>
      <c r="S75" s="40"/>
      <c r="T75" s="40"/>
      <c r="U75" s="40"/>
      <c r="V75" s="40"/>
      <c r="W75" s="40"/>
      <c r="X75" s="40"/>
      <c r="Y75" s="40"/>
      <c r="Z75" s="40"/>
      <c r="AA75" s="40"/>
    </row>
    <row r="76" spans="6:27" ht="15" thickBot="1" x14ac:dyDescent="0.35">
      <c r="F76" s="40"/>
      <c r="G76" s="40"/>
      <c r="H76" s="40"/>
      <c r="I76" s="40"/>
      <c r="J76" s="40"/>
      <c r="K76" s="40"/>
      <c r="L76" s="40"/>
      <c r="M76" s="40"/>
      <c r="N76" s="53" t="s">
        <v>18</v>
      </c>
      <c r="O76" s="53"/>
      <c r="P76" s="53"/>
      <c r="Q76" s="53"/>
      <c r="R76" s="53"/>
      <c r="S76" s="40"/>
      <c r="T76" s="40"/>
      <c r="U76" s="40"/>
      <c r="V76" s="40"/>
      <c r="W76" s="40"/>
      <c r="X76" s="40"/>
      <c r="Y76" s="40"/>
      <c r="Z76" s="40"/>
      <c r="AA76" s="40"/>
    </row>
    <row r="77" spans="6:27" ht="15" thickBot="1" x14ac:dyDescent="0.35">
      <c r="F77" s="47" t="s">
        <v>43</v>
      </c>
      <c r="G77" s="47">
        <v>3.0050812499999995</v>
      </c>
      <c r="H77" s="47">
        <v>47</v>
      </c>
      <c r="I77" s="47"/>
      <c r="J77" s="47"/>
      <c r="K77" s="47"/>
      <c r="L77" s="47"/>
      <c r="M77" s="40"/>
      <c r="N77" s="40" t="s">
        <v>16</v>
      </c>
      <c r="O77" s="40">
        <v>4</v>
      </c>
      <c r="P77" s="40">
        <v>4</v>
      </c>
      <c r="Q77" s="40">
        <v>4</v>
      </c>
      <c r="R77" s="40">
        <v>12</v>
      </c>
      <c r="S77" s="40"/>
      <c r="T77" s="40"/>
      <c r="U77" s="40"/>
      <c r="V77" s="40"/>
      <c r="W77" s="40"/>
      <c r="X77" s="40"/>
      <c r="Y77" s="40"/>
      <c r="Z77" s="40"/>
      <c r="AA77" s="40"/>
    </row>
    <row r="78" spans="6:27" x14ac:dyDescent="0.3">
      <c r="F78" s="40"/>
      <c r="G78" s="40"/>
      <c r="H78" s="40"/>
      <c r="I78" s="40"/>
      <c r="J78" s="40"/>
      <c r="K78" s="40"/>
      <c r="L78" s="40"/>
      <c r="M78" s="40"/>
      <c r="N78" s="40" t="s">
        <v>15</v>
      </c>
      <c r="O78" s="40">
        <v>1.65</v>
      </c>
      <c r="P78" s="40">
        <v>1.2799999999999998</v>
      </c>
      <c r="Q78" s="40">
        <v>0.84</v>
      </c>
      <c r="R78" s="40">
        <v>3.77</v>
      </c>
      <c r="S78" s="40"/>
      <c r="T78" s="40"/>
      <c r="U78" s="40"/>
      <c r="V78" s="40"/>
      <c r="W78" s="40"/>
      <c r="X78" s="40"/>
      <c r="Y78" s="40"/>
      <c r="Z78" s="40"/>
      <c r="AA78" s="40"/>
    </row>
    <row r="79" spans="6:27" x14ac:dyDescent="0.3">
      <c r="F79" s="40"/>
      <c r="G79" s="40"/>
      <c r="H79" s="40"/>
      <c r="I79" s="40"/>
      <c r="J79" s="40"/>
      <c r="K79" s="40"/>
      <c r="L79" s="40"/>
      <c r="M79" s="40"/>
      <c r="N79" s="40" t="s">
        <v>31</v>
      </c>
      <c r="O79" s="40">
        <v>0.41249999999999998</v>
      </c>
      <c r="P79" s="40">
        <v>0.31999999999999995</v>
      </c>
      <c r="Q79" s="40">
        <v>0.21</v>
      </c>
      <c r="R79" s="40">
        <v>0.31416666666666665</v>
      </c>
      <c r="S79" s="40"/>
      <c r="T79" s="40"/>
      <c r="U79" s="40"/>
      <c r="V79" s="40"/>
      <c r="W79" s="40"/>
      <c r="X79" s="40"/>
      <c r="Y79" s="40"/>
      <c r="Z79" s="40"/>
      <c r="AA79" s="40"/>
    </row>
    <row r="80" spans="6:27" x14ac:dyDescent="0.3">
      <c r="F80" s="40"/>
      <c r="G80" s="40"/>
      <c r="H80" s="40"/>
      <c r="I80" s="40"/>
      <c r="J80" s="40"/>
      <c r="K80" s="40"/>
      <c r="L80" s="40"/>
      <c r="M80" s="40"/>
      <c r="N80" s="40" t="s">
        <v>32</v>
      </c>
      <c r="O80" s="40">
        <v>4.8250000000000055E-3</v>
      </c>
      <c r="P80" s="40">
        <v>5.6666666666667269E-3</v>
      </c>
      <c r="Q80" s="40">
        <v>4.6666666666666704E-4</v>
      </c>
      <c r="R80" s="40">
        <v>1.0462878787878801E-2</v>
      </c>
      <c r="S80" s="40"/>
      <c r="T80" s="40"/>
      <c r="U80" s="40"/>
      <c r="V80" s="40"/>
      <c r="W80" s="40"/>
      <c r="X80" s="40"/>
      <c r="Y80" s="40"/>
      <c r="Z80" s="40"/>
      <c r="AA80" s="40"/>
    </row>
    <row r="81" spans="6:27" x14ac:dyDescent="0.3">
      <c r="F81" s="40"/>
      <c r="G81" s="40"/>
      <c r="H81" s="40"/>
      <c r="I81" s="40"/>
      <c r="J81" s="40"/>
      <c r="K81" s="40"/>
      <c r="L81" s="40"/>
      <c r="M81" s="40"/>
      <c r="N81" s="40"/>
      <c r="O81" s="40"/>
      <c r="P81" s="40"/>
      <c r="Q81" s="40"/>
      <c r="R81" s="40"/>
      <c r="S81" s="40"/>
      <c r="T81" s="40"/>
      <c r="U81" s="40"/>
      <c r="V81" s="40"/>
      <c r="W81" s="40"/>
      <c r="X81" s="40"/>
      <c r="Y81" s="40"/>
      <c r="Z81" s="40"/>
      <c r="AA81" s="40"/>
    </row>
    <row r="82" spans="6:27" ht="15" thickBot="1" x14ac:dyDescent="0.35">
      <c r="F82" s="40"/>
      <c r="G82" s="40"/>
      <c r="H82" s="40"/>
      <c r="I82" s="40"/>
      <c r="J82" s="40"/>
      <c r="K82" s="40"/>
      <c r="L82" s="40"/>
      <c r="M82" s="40"/>
      <c r="N82" s="53" t="s">
        <v>19</v>
      </c>
      <c r="O82" s="53"/>
      <c r="P82" s="53"/>
      <c r="Q82" s="53"/>
      <c r="R82" s="53"/>
      <c r="S82" s="40"/>
      <c r="T82" s="40"/>
      <c r="U82" s="40"/>
      <c r="V82" s="40"/>
      <c r="W82" s="40"/>
      <c r="X82" s="40"/>
      <c r="Y82" s="40"/>
      <c r="Z82" s="40"/>
      <c r="AA82" s="40"/>
    </row>
    <row r="83" spans="6:27" x14ac:dyDescent="0.3">
      <c r="F83" s="40"/>
      <c r="G83" s="40"/>
      <c r="H83" s="40"/>
      <c r="I83" s="40"/>
      <c r="J83" s="40"/>
      <c r="K83" s="40"/>
      <c r="L83" s="40"/>
      <c r="M83" s="40"/>
      <c r="N83" s="40" t="s">
        <v>16</v>
      </c>
      <c r="O83" s="40">
        <v>4</v>
      </c>
      <c r="P83" s="40">
        <v>4</v>
      </c>
      <c r="Q83" s="40">
        <v>4</v>
      </c>
      <c r="R83" s="40">
        <v>12</v>
      </c>
      <c r="S83" s="40"/>
      <c r="T83" s="40"/>
      <c r="U83" s="40"/>
      <c r="V83" s="40"/>
      <c r="W83" s="40"/>
      <c r="X83" s="40"/>
      <c r="Y83" s="40"/>
      <c r="Z83" s="40"/>
      <c r="AA83" s="40"/>
    </row>
    <row r="84" spans="6:27" x14ac:dyDescent="0.3">
      <c r="F84" s="40"/>
      <c r="G84" s="40"/>
      <c r="H84" s="40"/>
      <c r="I84" s="40"/>
      <c r="J84" s="40"/>
      <c r="K84" s="40"/>
      <c r="L84" s="40"/>
      <c r="M84" s="40"/>
      <c r="N84" s="40" t="s">
        <v>15</v>
      </c>
      <c r="O84" s="40">
        <v>3.5199999999999996</v>
      </c>
      <c r="P84" s="40">
        <v>3.26</v>
      </c>
      <c r="Q84" s="40">
        <v>1.3399999999999999</v>
      </c>
      <c r="R84" s="40">
        <v>8.1199999999999992</v>
      </c>
      <c r="S84" s="40"/>
      <c r="T84" s="40"/>
      <c r="U84" s="40"/>
      <c r="V84" s="40"/>
      <c r="W84" s="40"/>
      <c r="X84" s="40"/>
      <c r="Y84" s="40"/>
      <c r="Z84" s="40"/>
      <c r="AA84" s="40"/>
    </row>
    <row r="85" spans="6:27" x14ac:dyDescent="0.3">
      <c r="F85" s="40"/>
      <c r="G85" s="40"/>
      <c r="H85" s="40"/>
      <c r="I85" s="40"/>
      <c r="J85" s="40"/>
      <c r="K85" s="40"/>
      <c r="L85" s="40"/>
      <c r="M85" s="40"/>
      <c r="N85" s="40" t="s">
        <v>31</v>
      </c>
      <c r="O85" s="40">
        <v>0.87999999999999989</v>
      </c>
      <c r="P85" s="40">
        <v>0.81499999999999995</v>
      </c>
      <c r="Q85" s="40">
        <v>0.33499999999999996</v>
      </c>
      <c r="R85" s="40">
        <v>0.67666666666666664</v>
      </c>
      <c r="S85" s="40"/>
      <c r="T85" s="40"/>
      <c r="U85" s="40"/>
      <c r="V85" s="40"/>
      <c r="W85" s="40"/>
      <c r="X85" s="40"/>
      <c r="Y85" s="40"/>
      <c r="Z85" s="40"/>
      <c r="AA85" s="40"/>
    </row>
    <row r="86" spans="6:27" x14ac:dyDescent="0.3">
      <c r="F86" s="40"/>
      <c r="G86" s="40"/>
      <c r="H86" s="40"/>
      <c r="I86" s="40"/>
      <c r="J86" s="40"/>
      <c r="K86" s="40"/>
      <c r="L86" s="40"/>
      <c r="M86" s="40"/>
      <c r="N86" s="40" t="s">
        <v>32</v>
      </c>
      <c r="O86" s="40">
        <v>2.5866666666666926E-2</v>
      </c>
      <c r="P86" s="40">
        <v>0.11310000000000005</v>
      </c>
      <c r="Q86" s="40">
        <v>2.166666666666687E-3</v>
      </c>
      <c r="R86" s="40">
        <v>0.10293333333333346</v>
      </c>
      <c r="S86" s="40"/>
      <c r="T86" s="40"/>
      <c r="U86" s="40"/>
      <c r="V86" s="40"/>
      <c r="W86" s="40"/>
      <c r="X86" s="40"/>
      <c r="Y86" s="40"/>
      <c r="Z86" s="40"/>
      <c r="AA86" s="40"/>
    </row>
    <row r="87" spans="6:27" x14ac:dyDescent="0.3">
      <c r="F87" s="40"/>
      <c r="G87" s="40"/>
      <c r="H87" s="40"/>
      <c r="I87" s="40"/>
      <c r="J87" s="40"/>
      <c r="K87" s="40"/>
      <c r="L87" s="40"/>
      <c r="M87" s="40"/>
      <c r="N87" s="40"/>
      <c r="O87" s="40"/>
      <c r="P87" s="40"/>
      <c r="Q87" s="40"/>
      <c r="R87" s="40"/>
      <c r="S87" s="40"/>
      <c r="T87" s="40"/>
      <c r="U87" s="40"/>
      <c r="V87" s="40"/>
      <c r="W87" s="40"/>
      <c r="X87" s="40"/>
      <c r="Y87" s="40"/>
      <c r="Z87" s="40"/>
      <c r="AA87" s="40"/>
    </row>
    <row r="88" spans="6:27" ht="15" thickBot="1" x14ac:dyDescent="0.35">
      <c r="F88" s="40"/>
      <c r="G88" s="40"/>
      <c r="H88" s="40"/>
      <c r="I88" s="40"/>
      <c r="J88" s="40"/>
      <c r="K88" s="40"/>
      <c r="L88" s="40"/>
      <c r="M88" s="40"/>
      <c r="N88" s="53" t="s">
        <v>20</v>
      </c>
      <c r="O88" s="53"/>
      <c r="P88" s="53"/>
      <c r="Q88" s="53"/>
      <c r="R88" s="53"/>
      <c r="S88" s="40"/>
      <c r="T88" s="40"/>
      <c r="U88" s="40"/>
      <c r="V88" s="40"/>
      <c r="W88" s="40"/>
      <c r="X88" s="40"/>
      <c r="Y88" s="40"/>
      <c r="Z88" s="40"/>
      <c r="AA88" s="40"/>
    </row>
    <row r="89" spans="6:27" x14ac:dyDescent="0.3">
      <c r="F89" s="40"/>
      <c r="G89" s="40"/>
      <c r="H89" s="40"/>
      <c r="I89" s="40"/>
      <c r="J89" s="40"/>
      <c r="K89" s="40"/>
      <c r="L89" s="40"/>
      <c r="M89" s="40"/>
      <c r="N89" s="40" t="s">
        <v>16</v>
      </c>
      <c r="O89" s="40">
        <v>4</v>
      </c>
      <c r="P89" s="40">
        <v>4</v>
      </c>
      <c r="Q89" s="40">
        <v>4</v>
      </c>
      <c r="R89" s="40">
        <v>12</v>
      </c>
      <c r="S89" s="40"/>
      <c r="T89" s="40"/>
      <c r="U89" s="40"/>
      <c r="V89" s="40"/>
      <c r="W89" s="40"/>
      <c r="X89" s="40"/>
      <c r="Y89" s="40"/>
      <c r="Z89" s="40"/>
      <c r="AA89" s="40"/>
    </row>
    <row r="90" spans="6:27" x14ac:dyDescent="0.3">
      <c r="F90" s="40"/>
      <c r="G90" s="40"/>
      <c r="H90" s="40"/>
      <c r="I90" s="40"/>
      <c r="J90" s="40"/>
      <c r="K90" s="40"/>
      <c r="L90" s="40"/>
      <c r="M90" s="40"/>
      <c r="N90" s="40" t="s">
        <v>15</v>
      </c>
      <c r="O90" s="40">
        <v>2.27</v>
      </c>
      <c r="P90" s="40">
        <v>1.5</v>
      </c>
      <c r="Q90" s="40">
        <v>0.94</v>
      </c>
      <c r="R90" s="40">
        <v>4.71</v>
      </c>
      <c r="S90" s="40"/>
      <c r="T90" s="40"/>
      <c r="U90" s="40"/>
      <c r="V90" s="40"/>
      <c r="W90" s="40"/>
      <c r="X90" s="40"/>
      <c r="Y90" s="40"/>
      <c r="Z90" s="40"/>
      <c r="AA90" s="40"/>
    </row>
    <row r="91" spans="6:27" x14ac:dyDescent="0.3">
      <c r="F91" s="40"/>
      <c r="G91" s="40"/>
      <c r="H91" s="40"/>
      <c r="I91" s="40"/>
      <c r="J91" s="40"/>
      <c r="K91" s="40"/>
      <c r="L91" s="40"/>
      <c r="M91" s="40"/>
      <c r="N91" s="40" t="s">
        <v>31</v>
      </c>
      <c r="O91" s="40">
        <v>0.5675</v>
      </c>
      <c r="P91" s="40">
        <v>0.375</v>
      </c>
      <c r="Q91" s="40">
        <v>0.23499999999999999</v>
      </c>
      <c r="R91" s="40">
        <v>0.39250000000000002</v>
      </c>
      <c r="S91" s="40"/>
      <c r="T91" s="40"/>
      <c r="U91" s="40"/>
      <c r="V91" s="40"/>
      <c r="W91" s="40"/>
      <c r="X91" s="40"/>
      <c r="Y91" s="40"/>
      <c r="Z91" s="40"/>
      <c r="AA91" s="40"/>
    </row>
    <row r="92" spans="6:27" ht="15" thickBot="1" x14ac:dyDescent="0.35">
      <c r="F92" s="40" t="s">
        <v>53</v>
      </c>
      <c r="G92" s="40"/>
      <c r="H92" s="40"/>
      <c r="I92" s="40"/>
      <c r="J92" s="40"/>
      <c r="K92" s="40"/>
      <c r="L92" s="40"/>
      <c r="M92" s="40"/>
      <c r="N92" s="40" t="s">
        <v>32</v>
      </c>
      <c r="O92" s="40">
        <v>2.4558333333333311E-2</v>
      </c>
      <c r="P92" s="40">
        <v>3.2333333333333472E-3</v>
      </c>
      <c r="Q92" s="40">
        <v>1.6666666666666661E-4</v>
      </c>
      <c r="R92" s="40">
        <v>2.789318181818181E-2</v>
      </c>
      <c r="S92" s="40"/>
      <c r="T92" s="40"/>
      <c r="U92" s="40"/>
      <c r="V92" s="40"/>
      <c r="W92" s="40"/>
      <c r="X92" s="40"/>
      <c r="Y92" s="40"/>
      <c r="Z92" s="40"/>
      <c r="AA92" s="40"/>
    </row>
    <row r="93" spans="6:27" x14ac:dyDescent="0.3">
      <c r="F93" s="54" t="s">
        <v>71</v>
      </c>
      <c r="G93" s="54" t="s">
        <v>54</v>
      </c>
      <c r="H93" s="54" t="s">
        <v>55</v>
      </c>
      <c r="I93" s="40"/>
      <c r="J93" s="40"/>
      <c r="K93" s="40"/>
      <c r="L93" s="40"/>
      <c r="M93" s="40"/>
      <c r="N93" s="40"/>
      <c r="O93" s="40"/>
      <c r="P93" s="40"/>
      <c r="Q93" s="40"/>
      <c r="R93" s="40"/>
      <c r="S93" s="40"/>
      <c r="T93" s="40"/>
      <c r="U93" s="40"/>
      <c r="V93" s="40"/>
      <c r="W93" s="40"/>
      <c r="X93" s="40"/>
      <c r="Y93" s="40"/>
      <c r="Z93" s="40"/>
      <c r="AA93" s="40"/>
    </row>
    <row r="94" spans="6:27" ht="15" thickBot="1" x14ac:dyDescent="0.35">
      <c r="F94" s="55" t="s">
        <v>69</v>
      </c>
      <c r="G94" s="40">
        <f>TTEST(F46:F61,G46:G61,2,2)</f>
        <v>0.41932074164497823</v>
      </c>
      <c r="H94" s="56" t="str">
        <f>IF(G94&lt;=$G$101,"Yes","No")</f>
        <v>No</v>
      </c>
      <c r="I94" s="40"/>
      <c r="J94" s="40"/>
      <c r="K94" s="40"/>
      <c r="L94" s="40"/>
      <c r="M94" s="40"/>
      <c r="N94" s="53" t="s">
        <v>21</v>
      </c>
      <c r="O94" s="53"/>
      <c r="P94" s="53"/>
      <c r="Q94" s="53"/>
      <c r="R94" s="53"/>
      <c r="S94" s="40"/>
      <c r="T94" s="40"/>
      <c r="U94" s="40"/>
      <c r="V94" s="40"/>
      <c r="W94" s="40"/>
      <c r="X94" s="40"/>
      <c r="Y94" s="40"/>
      <c r="Z94" s="40"/>
      <c r="AA94" s="40"/>
    </row>
    <row r="95" spans="6:27" x14ac:dyDescent="0.3">
      <c r="F95" s="55" t="s">
        <v>68</v>
      </c>
      <c r="G95" s="40">
        <f>TTEST(G46:G61,H46:H61,2,2)</f>
        <v>1.062402140876349E-3</v>
      </c>
      <c r="H95" s="56" t="str">
        <f>IF(G95&lt;=$G$101,"Yes","No")</f>
        <v>Yes</v>
      </c>
      <c r="I95" s="40"/>
      <c r="J95" s="40"/>
      <c r="K95" s="40"/>
      <c r="L95" s="40"/>
      <c r="M95" s="40"/>
      <c r="N95" s="40" t="s">
        <v>16</v>
      </c>
      <c r="O95" s="40">
        <v>4</v>
      </c>
      <c r="P95" s="40">
        <v>4</v>
      </c>
      <c r="Q95" s="40">
        <v>4</v>
      </c>
      <c r="R95" s="40">
        <v>12</v>
      </c>
      <c r="S95" s="40"/>
      <c r="T95" s="40"/>
      <c r="U95" s="40"/>
      <c r="V95" s="40"/>
      <c r="W95" s="40"/>
      <c r="X95" s="40"/>
      <c r="Y95" s="40"/>
      <c r="Z95" s="40"/>
      <c r="AA95" s="40"/>
    </row>
    <row r="96" spans="6:27" ht="15" thickBot="1" x14ac:dyDescent="0.35">
      <c r="F96" s="57" t="s">
        <v>70</v>
      </c>
      <c r="G96" s="47">
        <f>TTEST(H46:H61,F46:F61,2,2)</f>
        <v>6.9973408988607877E-7</v>
      </c>
      <c r="H96" s="58" t="str">
        <f>IF(G96&lt;=$G$101,"Yes","No")</f>
        <v>Yes</v>
      </c>
      <c r="I96" s="40"/>
      <c r="J96" s="40"/>
      <c r="K96" s="40"/>
      <c r="L96" s="40"/>
      <c r="M96" s="40"/>
      <c r="N96" s="40" t="s">
        <v>15</v>
      </c>
      <c r="O96" s="40">
        <v>2.44</v>
      </c>
      <c r="P96" s="40">
        <v>2.67</v>
      </c>
      <c r="Q96" s="40">
        <v>1.3</v>
      </c>
      <c r="R96" s="40">
        <v>6.4099999999999993</v>
      </c>
      <c r="S96" s="40"/>
      <c r="T96" s="40"/>
      <c r="U96" s="40"/>
      <c r="V96" s="40"/>
      <c r="W96" s="40"/>
      <c r="X96" s="40"/>
      <c r="Y96" s="40"/>
      <c r="Z96" s="40"/>
      <c r="AA96" s="40"/>
    </row>
    <row r="97" spans="6:27" x14ac:dyDescent="0.3">
      <c r="F97" s="40"/>
      <c r="G97" s="40"/>
      <c r="H97" s="40"/>
      <c r="I97" s="40"/>
      <c r="J97" s="40"/>
      <c r="K97" s="40"/>
      <c r="L97" s="40"/>
      <c r="M97" s="40"/>
      <c r="N97" s="40" t="s">
        <v>31</v>
      </c>
      <c r="O97" s="40">
        <v>0.61</v>
      </c>
      <c r="P97" s="40">
        <v>0.66749999999999998</v>
      </c>
      <c r="Q97" s="40">
        <v>0.32500000000000001</v>
      </c>
      <c r="R97" s="40">
        <v>0.53416666666666657</v>
      </c>
      <c r="S97" s="40"/>
      <c r="T97" s="40"/>
      <c r="U97" s="40"/>
      <c r="V97" s="40"/>
      <c r="W97" s="40"/>
      <c r="X97" s="40"/>
      <c r="Y97" s="40"/>
      <c r="Z97" s="40"/>
      <c r="AA97" s="40"/>
    </row>
    <row r="98" spans="6:27" ht="15" thickBot="1" x14ac:dyDescent="0.35">
      <c r="F98" s="40" t="s">
        <v>56</v>
      </c>
      <c r="G98" s="40"/>
      <c r="H98" s="40"/>
      <c r="I98" s="40"/>
      <c r="J98" s="40"/>
      <c r="K98" s="40"/>
      <c r="L98" s="40"/>
      <c r="M98" s="40"/>
      <c r="N98" s="40" t="s">
        <v>32</v>
      </c>
      <c r="O98" s="40">
        <v>1.2733333333333411E-2</v>
      </c>
      <c r="P98" s="40">
        <v>7.3425000000000004E-2</v>
      </c>
      <c r="Q98" s="40">
        <v>6.9999999999999978E-4</v>
      </c>
      <c r="R98" s="40">
        <v>4.8153787878787942E-2</v>
      </c>
      <c r="S98" s="40"/>
      <c r="T98" s="40"/>
      <c r="U98" s="40"/>
      <c r="V98" s="40"/>
      <c r="W98" s="40"/>
      <c r="X98" s="40"/>
      <c r="Y98" s="40"/>
      <c r="Z98" s="40"/>
      <c r="AA98" s="40"/>
    </row>
    <row r="99" spans="6:27" x14ac:dyDescent="0.3">
      <c r="F99" s="54" t="s">
        <v>57</v>
      </c>
      <c r="G99" s="54" t="s">
        <v>58</v>
      </c>
      <c r="H99" s="40"/>
      <c r="I99" s="40"/>
      <c r="J99" s="40"/>
      <c r="K99" s="40"/>
      <c r="L99" s="40"/>
      <c r="M99" s="40"/>
      <c r="N99" s="40"/>
      <c r="O99" s="40"/>
      <c r="P99" s="40"/>
      <c r="Q99" s="40"/>
      <c r="R99" s="40"/>
      <c r="S99" s="40"/>
      <c r="T99" s="40"/>
      <c r="U99" s="40"/>
      <c r="V99" s="40"/>
      <c r="W99" s="40"/>
      <c r="X99" s="40"/>
      <c r="Y99" s="40"/>
      <c r="Z99" s="40"/>
      <c r="AA99" s="40"/>
    </row>
    <row r="100" spans="6:27" ht="15" thickBot="1" x14ac:dyDescent="0.35">
      <c r="F100" s="40" t="s">
        <v>33</v>
      </c>
      <c r="G100" s="40">
        <v>0.05</v>
      </c>
      <c r="H100" s="40"/>
      <c r="I100" s="40"/>
      <c r="J100" s="40"/>
      <c r="K100" s="40"/>
      <c r="L100" s="40"/>
      <c r="M100" s="40"/>
      <c r="N100" s="53" t="s">
        <v>43</v>
      </c>
      <c r="O100" s="53"/>
      <c r="P100" s="53"/>
      <c r="Q100" s="53"/>
      <c r="R100" s="53"/>
      <c r="S100" s="53"/>
      <c r="T100" s="40"/>
      <c r="U100" s="40"/>
      <c r="V100" s="40"/>
      <c r="W100" s="40"/>
      <c r="X100" s="40"/>
      <c r="Y100" s="40"/>
      <c r="Z100" s="40"/>
      <c r="AA100" s="40"/>
    </row>
    <row r="101" spans="6:27" ht="15" thickBot="1" x14ac:dyDescent="0.35">
      <c r="F101" s="47" t="s">
        <v>59</v>
      </c>
      <c r="G101" s="47">
        <f>G100/3</f>
        <v>1.6666666666666666E-2</v>
      </c>
      <c r="H101" s="40"/>
      <c r="I101" s="40"/>
      <c r="J101" s="40"/>
      <c r="K101" s="40"/>
      <c r="L101" s="40"/>
      <c r="M101" s="40"/>
      <c r="N101" s="40" t="s">
        <v>16</v>
      </c>
      <c r="O101" s="40">
        <v>16</v>
      </c>
      <c r="P101" s="40">
        <v>16</v>
      </c>
      <c r="Q101" s="40">
        <v>16</v>
      </c>
      <c r="R101" s="40"/>
      <c r="S101" s="40"/>
      <c r="T101" s="40"/>
      <c r="U101" s="40"/>
      <c r="V101" s="40"/>
      <c r="W101" s="40"/>
      <c r="X101" s="40"/>
      <c r="Y101" s="40"/>
      <c r="Z101" s="40"/>
      <c r="AA101" s="40"/>
    </row>
    <row r="102" spans="6:27" x14ac:dyDescent="0.3">
      <c r="F102" s="40"/>
      <c r="G102" s="40"/>
      <c r="H102" s="40"/>
      <c r="I102" s="40"/>
      <c r="J102" s="40"/>
      <c r="K102" s="40"/>
      <c r="L102" s="40"/>
      <c r="M102" s="40"/>
      <c r="N102" s="40" t="s">
        <v>15</v>
      </c>
      <c r="O102" s="40">
        <v>9.879999999999999</v>
      </c>
      <c r="P102" s="40">
        <v>8.7099999999999991</v>
      </c>
      <c r="Q102" s="40">
        <v>4.42</v>
      </c>
      <c r="R102" s="40"/>
      <c r="S102" s="40"/>
      <c r="T102" s="62"/>
      <c r="U102" s="40"/>
      <c r="V102" s="40"/>
      <c r="W102" s="40"/>
      <c r="X102" s="40"/>
      <c r="Y102" s="40"/>
      <c r="Z102" s="40"/>
      <c r="AA102" s="40"/>
    </row>
    <row r="103" spans="6:27" x14ac:dyDescent="0.3">
      <c r="F103" s="40"/>
      <c r="G103" s="40"/>
      <c r="H103" s="40"/>
      <c r="I103" s="40"/>
      <c r="J103" s="40"/>
      <c r="K103" s="40"/>
      <c r="L103" s="40"/>
      <c r="M103" s="40"/>
      <c r="N103" s="40" t="s">
        <v>31</v>
      </c>
      <c r="O103" s="40">
        <v>0.61749999999999994</v>
      </c>
      <c r="P103" s="40">
        <v>0.54437499999999994</v>
      </c>
      <c r="Q103" s="40">
        <v>0.27624999999999994</v>
      </c>
      <c r="R103" s="40"/>
      <c r="S103" s="40"/>
      <c r="T103" s="40"/>
      <c r="U103" s="40"/>
      <c r="V103" s="40"/>
      <c r="W103" s="40"/>
      <c r="X103" s="40"/>
      <c r="Y103" s="40"/>
      <c r="Z103" s="40"/>
      <c r="AA103" s="40"/>
    </row>
    <row r="104" spans="6:27" x14ac:dyDescent="0.3">
      <c r="F104" s="40"/>
      <c r="G104" s="40"/>
      <c r="H104" s="40"/>
      <c r="I104" s="40"/>
      <c r="J104" s="40"/>
      <c r="K104" s="40"/>
      <c r="L104" s="40"/>
      <c r="M104" s="40"/>
      <c r="N104" s="40" t="s">
        <v>32</v>
      </c>
      <c r="O104" s="40">
        <v>4.3860000000000038E-2</v>
      </c>
      <c r="P104" s="40">
        <v>8.3732916666666782E-2</v>
      </c>
      <c r="Q104" s="40">
        <v>3.8783333333333686E-3</v>
      </c>
      <c r="R104" s="40"/>
      <c r="S104" s="40"/>
      <c r="T104" s="40"/>
      <c r="U104" s="40"/>
      <c r="V104" s="40"/>
      <c r="W104" s="40"/>
      <c r="X104" s="40"/>
      <c r="Y104" s="40"/>
      <c r="Z104" s="40"/>
      <c r="AA104" s="40"/>
    </row>
    <row r="105" spans="6:27" x14ac:dyDescent="0.3">
      <c r="F105" s="40"/>
      <c r="G105" s="40"/>
      <c r="H105" s="40"/>
      <c r="I105" s="40"/>
      <c r="J105" s="40"/>
      <c r="K105" s="40"/>
      <c r="L105" s="40"/>
      <c r="M105" s="40"/>
      <c r="N105" s="40"/>
      <c r="O105" s="40"/>
      <c r="P105" s="40"/>
      <c r="Q105" s="40"/>
      <c r="R105" s="40"/>
      <c r="S105" s="40"/>
      <c r="T105" s="40"/>
      <c r="U105" s="40"/>
      <c r="V105" s="40"/>
      <c r="W105" s="40"/>
      <c r="X105" s="40"/>
      <c r="Y105" s="40"/>
      <c r="Z105" s="40"/>
      <c r="AA105" s="40"/>
    </row>
    <row r="106" spans="6:27" x14ac:dyDescent="0.3">
      <c r="F106" s="40"/>
      <c r="G106" s="40"/>
      <c r="H106" s="40"/>
      <c r="I106" s="40"/>
      <c r="J106" s="40"/>
      <c r="K106" s="40"/>
      <c r="L106" s="40"/>
      <c r="M106" s="40"/>
      <c r="N106" s="40"/>
      <c r="O106" s="40"/>
      <c r="P106" s="40"/>
      <c r="Q106" s="40"/>
      <c r="R106" s="40"/>
      <c r="S106" s="40"/>
      <c r="T106" s="40"/>
      <c r="U106" s="40"/>
      <c r="V106" s="40"/>
      <c r="W106" s="40"/>
      <c r="X106" s="40"/>
      <c r="Y106" s="40"/>
      <c r="Z106" s="40"/>
      <c r="AA106" s="40"/>
    </row>
    <row r="107" spans="6:27" ht="15" thickBot="1" x14ac:dyDescent="0.35">
      <c r="F107" s="40"/>
      <c r="G107" s="40"/>
      <c r="H107" s="40"/>
      <c r="I107" s="40"/>
      <c r="J107" s="40"/>
      <c r="K107" s="40"/>
      <c r="L107" s="40"/>
      <c r="M107" s="40"/>
      <c r="N107" s="40" t="s">
        <v>33</v>
      </c>
      <c r="O107" s="40"/>
      <c r="P107" s="40"/>
      <c r="Q107" s="40"/>
      <c r="R107" s="40"/>
      <c r="S107" s="40"/>
      <c r="T107" s="40"/>
      <c r="U107" s="40"/>
      <c r="V107" s="40"/>
      <c r="W107" s="40"/>
      <c r="X107" s="40"/>
      <c r="Y107" s="40"/>
      <c r="Z107" s="40"/>
      <c r="AA107" s="40"/>
    </row>
    <row r="108" spans="6:27" x14ac:dyDescent="0.3">
      <c r="F108" s="40"/>
      <c r="G108" s="40"/>
      <c r="H108" s="40"/>
      <c r="I108" s="40"/>
      <c r="J108" s="40"/>
      <c r="K108" s="40"/>
      <c r="L108" s="40"/>
      <c r="M108" s="40"/>
      <c r="N108" s="41" t="s">
        <v>34</v>
      </c>
      <c r="O108" s="41" t="s">
        <v>35</v>
      </c>
      <c r="P108" s="41" t="s">
        <v>36</v>
      </c>
      <c r="Q108" s="41" t="s">
        <v>37</v>
      </c>
      <c r="R108" s="41" t="s">
        <v>38</v>
      </c>
      <c r="S108" s="41" t="s">
        <v>39</v>
      </c>
      <c r="T108" s="41" t="s">
        <v>40</v>
      </c>
      <c r="U108" s="40"/>
      <c r="V108" s="40"/>
      <c r="W108" s="40"/>
      <c r="X108" s="40"/>
      <c r="Y108" s="40"/>
      <c r="Z108" s="40"/>
      <c r="AA108" s="40"/>
    </row>
    <row r="109" spans="6:27" x14ac:dyDescent="0.3">
      <c r="F109" s="40"/>
      <c r="G109" s="40"/>
      <c r="H109" s="40"/>
      <c r="I109" s="40"/>
      <c r="J109" s="40"/>
      <c r="K109" s="40"/>
      <c r="L109" s="40"/>
      <c r="M109" s="40"/>
      <c r="N109" s="40" t="s">
        <v>49</v>
      </c>
      <c r="O109" s="40">
        <v>0.92120624999999956</v>
      </c>
      <c r="P109" s="40">
        <v>3</v>
      </c>
      <c r="Q109" s="40">
        <v>0.30706874999999983</v>
      </c>
      <c r="R109" s="40">
        <v>13.8055824409129</v>
      </c>
      <c r="S109" s="40">
        <v>3.7773305759207001E-6</v>
      </c>
      <c r="T109" s="40">
        <v>2.86626555094018</v>
      </c>
      <c r="U109" s="40"/>
      <c r="V109" s="40"/>
      <c r="W109" s="40"/>
      <c r="X109" s="40"/>
      <c r="Y109" s="40"/>
      <c r="Z109" s="40"/>
      <c r="AA109" s="40"/>
    </row>
    <row r="110" spans="6:27" x14ac:dyDescent="0.3">
      <c r="F110" s="40"/>
      <c r="G110" s="40"/>
      <c r="H110" s="40"/>
      <c r="I110" s="40"/>
      <c r="J110" s="40"/>
      <c r="K110" s="40"/>
      <c r="L110" s="40"/>
      <c r="M110" s="40"/>
      <c r="N110" s="40" t="s">
        <v>50</v>
      </c>
      <c r="O110" s="40">
        <v>1.0330124999999992</v>
      </c>
      <c r="P110" s="40">
        <v>2</v>
      </c>
      <c r="Q110" s="40">
        <v>0.51650624999999961</v>
      </c>
      <c r="R110" s="40">
        <v>23.221736551250402</v>
      </c>
      <c r="S110" s="59">
        <v>3.3314399615705401E-7</v>
      </c>
      <c r="T110" s="40">
        <v>3.2594463061441101</v>
      </c>
      <c r="U110" s="40"/>
      <c r="V110" s="40"/>
      <c r="W110" s="40"/>
      <c r="X110" s="40"/>
      <c r="Y110" s="40"/>
      <c r="Z110" s="40"/>
      <c r="AA110" s="40"/>
    </row>
    <row r="111" spans="6:27" x14ac:dyDescent="0.3">
      <c r="F111" s="40"/>
      <c r="G111" s="40"/>
      <c r="H111" s="40"/>
      <c r="I111" s="40"/>
      <c r="J111" s="40"/>
      <c r="K111" s="40"/>
      <c r="L111" s="40"/>
      <c r="M111" s="40"/>
      <c r="N111" s="40" t="s">
        <v>51</v>
      </c>
      <c r="O111" s="40">
        <v>0.25013750000000068</v>
      </c>
      <c r="P111" s="40">
        <v>6</v>
      </c>
      <c r="Q111" s="40">
        <v>4.1689583333333446E-2</v>
      </c>
      <c r="R111" s="40">
        <v>1.8743326360485899</v>
      </c>
      <c r="S111" s="40">
        <v>0.112250608311411</v>
      </c>
      <c r="T111" s="40">
        <v>2.36375095836615</v>
      </c>
      <c r="U111" s="40"/>
      <c r="V111" s="40"/>
      <c r="W111" s="40"/>
      <c r="X111" s="40"/>
      <c r="Y111" s="40"/>
      <c r="Z111" s="40"/>
      <c r="AA111" s="40"/>
    </row>
    <row r="112" spans="6:27" x14ac:dyDescent="0.3">
      <c r="F112" s="40"/>
      <c r="G112" s="40"/>
      <c r="H112" s="40"/>
      <c r="I112" s="40"/>
      <c r="J112" s="40"/>
      <c r="K112" s="40"/>
      <c r="L112" s="40"/>
      <c r="M112" s="40"/>
      <c r="N112" s="40" t="s">
        <v>52</v>
      </c>
      <c r="O112" s="40">
        <v>0.80072500000000002</v>
      </c>
      <c r="P112" s="40">
        <v>36</v>
      </c>
      <c r="Q112" s="40">
        <v>2.2242361111111112E-2</v>
      </c>
      <c r="R112" s="40"/>
      <c r="S112" s="40"/>
      <c r="T112" s="40"/>
      <c r="U112" s="40"/>
      <c r="V112" s="40"/>
      <c r="W112" s="40"/>
      <c r="X112" s="40"/>
      <c r="Y112" s="40"/>
      <c r="Z112" s="40"/>
      <c r="AA112" s="40"/>
    </row>
    <row r="113" spans="6:27" x14ac:dyDescent="0.3">
      <c r="F113" s="40"/>
      <c r="G113" s="40"/>
      <c r="H113" s="40"/>
      <c r="I113" s="40"/>
      <c r="J113" s="40"/>
      <c r="K113" s="40"/>
      <c r="L113" s="40"/>
      <c r="M113" s="40"/>
      <c r="N113" s="40"/>
      <c r="O113" s="40"/>
      <c r="P113" s="40"/>
      <c r="Q113" s="40"/>
      <c r="R113" s="40"/>
      <c r="S113" s="40"/>
      <c r="T113" s="40"/>
      <c r="U113" s="40"/>
      <c r="V113" s="40"/>
      <c r="W113" s="40"/>
      <c r="X113" s="40"/>
      <c r="Y113" s="40"/>
      <c r="Z113" s="40"/>
      <c r="AA113" s="40"/>
    </row>
    <row r="114" spans="6:27" ht="15" thickBot="1" x14ac:dyDescent="0.35">
      <c r="F114" s="40"/>
      <c r="G114" s="40"/>
      <c r="H114" s="40"/>
      <c r="I114" s="40"/>
      <c r="J114" s="40"/>
      <c r="K114" s="40"/>
      <c r="L114" s="40"/>
      <c r="M114" s="40"/>
      <c r="N114" s="47" t="s">
        <v>43</v>
      </c>
      <c r="O114" s="47">
        <v>3.0050812499999995</v>
      </c>
      <c r="P114" s="47">
        <v>47</v>
      </c>
      <c r="Q114" s="47"/>
      <c r="R114" s="47"/>
      <c r="S114" s="47"/>
      <c r="T114" s="47"/>
      <c r="U114" s="40"/>
      <c r="V114" s="40"/>
      <c r="W114" s="40"/>
      <c r="X114" s="40"/>
      <c r="Y114" s="40"/>
      <c r="Z114" s="40"/>
      <c r="AA114" s="40"/>
    </row>
    <row r="115" spans="6:27" x14ac:dyDescent="0.3">
      <c r="F115" s="40"/>
      <c r="G115" s="40"/>
      <c r="H115" s="40"/>
      <c r="I115" s="40"/>
      <c r="J115" s="40"/>
      <c r="K115" s="40"/>
      <c r="L115" s="40"/>
      <c r="M115" s="40"/>
      <c r="N115" s="40"/>
      <c r="O115" s="40"/>
      <c r="P115" s="40"/>
      <c r="Q115" s="40"/>
      <c r="R115" s="40"/>
      <c r="S115" s="40"/>
      <c r="T115" s="40"/>
      <c r="U115" s="40"/>
      <c r="V115" s="40"/>
      <c r="W115" s="40"/>
      <c r="X115" s="40"/>
      <c r="Y115" s="40"/>
      <c r="Z115" s="40"/>
      <c r="AA115" s="40"/>
    </row>
    <row r="116" spans="6:27" ht="15" thickBot="1" x14ac:dyDescent="0.35">
      <c r="F116" s="40"/>
      <c r="G116" s="40"/>
      <c r="H116" s="40"/>
      <c r="I116" s="40"/>
      <c r="J116" s="40"/>
      <c r="K116" s="40"/>
      <c r="L116" s="40"/>
      <c r="M116" s="40"/>
      <c r="N116" s="40"/>
      <c r="O116" s="40"/>
      <c r="P116" s="40"/>
      <c r="Q116" s="40"/>
      <c r="R116" s="40"/>
      <c r="S116" s="40"/>
      <c r="T116" s="40"/>
      <c r="U116" s="40" t="s">
        <v>53</v>
      </c>
      <c r="V116" s="40"/>
      <c r="W116" s="40"/>
      <c r="X116" s="40"/>
      <c r="Y116" s="40"/>
      <c r="Z116" s="40"/>
      <c r="AA116" s="40"/>
    </row>
    <row r="117" spans="6:27" x14ac:dyDescent="0.3">
      <c r="F117" s="40"/>
      <c r="G117" s="40"/>
      <c r="H117" s="40"/>
      <c r="I117" s="40"/>
      <c r="J117" s="40"/>
      <c r="K117" s="40"/>
      <c r="L117" s="40"/>
      <c r="M117" s="40"/>
      <c r="N117" s="40"/>
      <c r="O117" s="40"/>
      <c r="P117" s="40"/>
      <c r="Q117" s="40"/>
      <c r="R117" s="40"/>
      <c r="S117" s="40"/>
      <c r="T117" s="40"/>
      <c r="U117" s="54" t="s">
        <v>72</v>
      </c>
      <c r="V117" s="54" t="s">
        <v>54</v>
      </c>
      <c r="W117" s="54" t="s">
        <v>55</v>
      </c>
      <c r="X117" s="40"/>
      <c r="Y117" s="40"/>
      <c r="Z117" s="40"/>
      <c r="AA117" s="40"/>
    </row>
    <row r="118" spans="6:27" x14ac:dyDescent="0.3">
      <c r="F118" s="40"/>
      <c r="G118" s="40"/>
      <c r="H118" s="40"/>
      <c r="I118" s="40"/>
      <c r="J118" s="40"/>
      <c r="K118" s="40"/>
      <c r="L118" s="40"/>
      <c r="M118" s="40"/>
      <c r="N118" s="40"/>
      <c r="O118" s="40"/>
      <c r="P118" s="40"/>
      <c r="Q118" s="40"/>
      <c r="R118" s="40"/>
      <c r="S118" s="40"/>
      <c r="T118" s="40"/>
      <c r="U118" s="60" t="s">
        <v>60</v>
      </c>
      <c r="V118" s="40">
        <f>TTEST(P56:R59,P60:R63,2,2)</f>
        <v>1.1651760292798715E-3</v>
      </c>
      <c r="W118" s="56" t="str">
        <f>IF(V118&lt;=$V$128,"Yes","No")</f>
        <v>Yes</v>
      </c>
      <c r="X118" s="40"/>
      <c r="Y118" s="40"/>
      <c r="Z118" s="40"/>
      <c r="AA118" s="40"/>
    </row>
    <row r="119" spans="6:27" x14ac:dyDescent="0.3">
      <c r="F119" s="40"/>
      <c r="G119" s="40"/>
      <c r="H119" s="40"/>
      <c r="I119" s="40"/>
      <c r="J119" s="40"/>
      <c r="K119" s="40"/>
      <c r="L119" s="40"/>
      <c r="M119" s="40"/>
      <c r="N119" s="40"/>
      <c r="O119" s="40"/>
      <c r="P119" s="40"/>
      <c r="Q119" s="40"/>
      <c r="R119" s="40"/>
      <c r="S119" s="40"/>
      <c r="T119" s="40"/>
      <c r="U119" s="60" t="s">
        <v>63</v>
      </c>
      <c r="V119" s="40">
        <f>TTEST(P56:R59,P64:R67,2,2)</f>
        <v>0.17977369474424573</v>
      </c>
      <c r="W119" s="56" t="str">
        <f>IF(V119&lt;=$V$128,"Yes","No")</f>
        <v>No</v>
      </c>
      <c r="X119" s="40"/>
      <c r="Y119" s="40"/>
      <c r="Z119" s="40"/>
      <c r="AA119" s="40"/>
    </row>
    <row r="120" spans="6:27" x14ac:dyDescent="0.3">
      <c r="F120" s="40"/>
      <c r="G120" s="40"/>
      <c r="H120" s="40"/>
      <c r="I120" s="40"/>
      <c r="J120" s="40"/>
      <c r="K120" s="40"/>
      <c r="L120" s="40"/>
      <c r="M120" s="40"/>
      <c r="N120" s="40"/>
      <c r="O120" s="40"/>
      <c r="P120" s="40"/>
      <c r="Q120" s="40"/>
      <c r="R120" s="40"/>
      <c r="S120" s="40"/>
      <c r="T120" s="40"/>
      <c r="U120" s="60" t="s">
        <v>64</v>
      </c>
      <c r="V120" s="40">
        <f>TTEST(P56:R59,P68:R71,2,2)</f>
        <v>4.6720309341793205E-3</v>
      </c>
      <c r="W120" s="56" t="str">
        <f>IF(V120&lt;=$V$128,"Yes","No")</f>
        <v>Yes</v>
      </c>
      <c r="X120" s="40"/>
      <c r="Y120" s="40"/>
      <c r="Z120" s="40"/>
      <c r="AA120" s="40"/>
    </row>
    <row r="121" spans="6:27" x14ac:dyDescent="0.3">
      <c r="F121" s="40"/>
      <c r="G121" s="40"/>
      <c r="H121" s="40"/>
      <c r="I121" s="40"/>
      <c r="J121" s="40"/>
      <c r="K121" s="40"/>
      <c r="L121" s="40"/>
      <c r="M121" s="40"/>
      <c r="N121" s="40"/>
      <c r="O121" s="40"/>
      <c r="P121" s="40"/>
      <c r="Q121" s="40"/>
      <c r="R121" s="40"/>
      <c r="S121" s="40"/>
      <c r="T121" s="40"/>
      <c r="U121" s="60" t="s">
        <v>61</v>
      </c>
      <c r="V121" s="40">
        <f>TTEST(P60:R63,P64:R67,2,2)</f>
        <v>1.246045774660884E-2</v>
      </c>
      <c r="W121" s="56" t="str">
        <f>IF(V121&lt;=$V$128,"Yes","No")</f>
        <v>Yes</v>
      </c>
      <c r="X121" s="40"/>
      <c r="Y121" s="40"/>
      <c r="Z121" s="40"/>
      <c r="AA121" s="40"/>
    </row>
    <row r="122" spans="6:27" x14ac:dyDescent="0.3">
      <c r="F122" s="40"/>
      <c r="G122" s="40"/>
      <c r="H122" s="40"/>
      <c r="I122" s="40"/>
      <c r="J122" s="40"/>
      <c r="K122" s="40"/>
      <c r="L122" s="40"/>
      <c r="M122" s="40"/>
      <c r="N122" s="40"/>
      <c r="O122" s="40"/>
      <c r="P122" s="40"/>
      <c r="Q122" s="40"/>
      <c r="R122" s="40"/>
      <c r="S122" s="40"/>
      <c r="T122" s="40"/>
      <c r="U122" s="60" t="s">
        <v>65</v>
      </c>
      <c r="V122" s="40">
        <f>TTEST(P60:R63,P68:R71,2,2)</f>
        <v>0.21736562784671126</v>
      </c>
      <c r="W122" s="56" t="str">
        <f>IF(V122&lt;=$V$128,"Yes","No")</f>
        <v>No</v>
      </c>
      <c r="X122" s="40"/>
      <c r="Y122" s="40"/>
      <c r="Z122" s="40"/>
      <c r="AA122" s="40"/>
    </row>
    <row r="123" spans="6:27" ht="15" thickBot="1" x14ac:dyDescent="0.35">
      <c r="F123" s="40"/>
      <c r="G123" s="40"/>
      <c r="H123" s="40"/>
      <c r="I123" s="40"/>
      <c r="J123" s="40"/>
      <c r="K123" s="40"/>
      <c r="L123" s="40"/>
      <c r="M123" s="40"/>
      <c r="N123" s="40"/>
      <c r="O123" s="40"/>
      <c r="P123" s="40"/>
      <c r="Q123" s="40"/>
      <c r="R123" s="40"/>
      <c r="S123" s="40"/>
      <c r="T123" s="40"/>
      <c r="U123" s="61" t="s">
        <v>62</v>
      </c>
      <c r="V123" s="47">
        <f>TTEST(P64:R67,P68:R71,2,2)</f>
        <v>8.8964569171924843E-2</v>
      </c>
      <c r="W123" s="58" t="str">
        <f>IF(V123&lt;=$V$128,"Yes","No")</f>
        <v>No</v>
      </c>
      <c r="X123" s="40"/>
      <c r="Y123" s="40"/>
      <c r="Z123" s="40"/>
      <c r="AA123" s="40"/>
    </row>
    <row r="124" spans="6:27" x14ac:dyDescent="0.3">
      <c r="F124" s="40"/>
      <c r="G124" s="40"/>
      <c r="H124" s="40"/>
      <c r="I124" s="40"/>
      <c r="J124" s="40"/>
      <c r="K124" s="40"/>
      <c r="L124" s="40"/>
      <c r="M124" s="40"/>
      <c r="N124" s="40"/>
      <c r="O124" s="40"/>
      <c r="P124" s="40"/>
      <c r="Q124" s="40"/>
      <c r="R124" s="40"/>
      <c r="S124" s="40"/>
      <c r="T124" s="40"/>
      <c r="U124" s="40"/>
      <c r="V124" s="40"/>
      <c r="W124" s="40"/>
      <c r="X124" s="40"/>
      <c r="Y124" s="40"/>
      <c r="Z124" s="40"/>
      <c r="AA124" s="40"/>
    </row>
    <row r="125" spans="6:27" ht="15" thickBot="1" x14ac:dyDescent="0.35">
      <c r="F125" s="40"/>
      <c r="G125" s="40"/>
      <c r="H125" s="40"/>
      <c r="I125" s="40"/>
      <c r="J125" s="40"/>
      <c r="K125" s="40"/>
      <c r="L125" s="40"/>
      <c r="M125" s="40"/>
      <c r="N125" s="40"/>
      <c r="O125" s="40"/>
      <c r="P125" s="40"/>
      <c r="Q125" s="40"/>
      <c r="R125" s="40"/>
      <c r="S125" s="40"/>
      <c r="T125" s="40"/>
      <c r="U125" s="40" t="s">
        <v>56</v>
      </c>
      <c r="V125" s="40"/>
      <c r="W125" s="40"/>
      <c r="X125" s="40"/>
      <c r="Y125" s="40"/>
      <c r="Z125" s="40"/>
      <c r="AA125" s="40"/>
    </row>
    <row r="126" spans="6:27" x14ac:dyDescent="0.3">
      <c r="F126" s="40"/>
      <c r="G126" s="40"/>
      <c r="H126" s="40"/>
      <c r="I126" s="40"/>
      <c r="J126" s="40"/>
      <c r="K126" s="40"/>
      <c r="L126" s="40"/>
      <c r="M126" s="40"/>
      <c r="N126" s="40"/>
      <c r="O126" s="40"/>
      <c r="P126" s="40"/>
      <c r="Q126" s="40"/>
      <c r="R126" s="40"/>
      <c r="S126" s="40"/>
      <c r="T126" s="40"/>
      <c r="U126" s="54" t="s">
        <v>57</v>
      </c>
      <c r="V126" s="54" t="s">
        <v>58</v>
      </c>
      <c r="W126" s="40"/>
      <c r="X126" s="40"/>
      <c r="Y126" s="40"/>
      <c r="Z126" s="40"/>
      <c r="AA126" s="40"/>
    </row>
    <row r="127" spans="6:27" x14ac:dyDescent="0.3">
      <c r="F127" s="40"/>
      <c r="G127" s="40"/>
      <c r="H127" s="40"/>
      <c r="I127" s="40"/>
      <c r="J127" s="40"/>
      <c r="K127" s="40"/>
      <c r="L127" s="40"/>
      <c r="M127" s="40"/>
      <c r="N127" s="40"/>
      <c r="O127" s="40"/>
      <c r="P127" s="40"/>
      <c r="Q127" s="40"/>
      <c r="R127" s="40"/>
      <c r="S127" s="40"/>
      <c r="T127" s="40"/>
      <c r="U127" s="40" t="s">
        <v>33</v>
      </c>
      <c r="V127" s="40">
        <v>0.05</v>
      </c>
      <c r="W127" s="40"/>
      <c r="X127" s="40"/>
      <c r="Y127" s="40"/>
      <c r="Z127" s="40"/>
      <c r="AA127" s="40"/>
    </row>
    <row r="128" spans="6:27" ht="15" thickBot="1" x14ac:dyDescent="0.35">
      <c r="F128" s="40"/>
      <c r="G128" s="40"/>
      <c r="H128" s="40"/>
      <c r="I128" s="40"/>
      <c r="J128" s="40"/>
      <c r="K128" s="40"/>
      <c r="L128" s="40"/>
      <c r="M128" s="40"/>
      <c r="N128" s="40"/>
      <c r="O128" s="40"/>
      <c r="P128" s="40"/>
      <c r="Q128" s="40"/>
      <c r="R128" s="40"/>
      <c r="S128" s="40"/>
      <c r="T128" s="40"/>
      <c r="U128" s="47" t="s">
        <v>59</v>
      </c>
      <c r="V128" s="47">
        <f>V127/4</f>
        <v>1.2500000000000001E-2</v>
      </c>
      <c r="W128" s="40"/>
      <c r="X128" s="40"/>
      <c r="Y128" s="40"/>
      <c r="Z128" s="40"/>
      <c r="AA128" s="40"/>
    </row>
    <row r="129" spans="6:27" x14ac:dyDescent="0.3">
      <c r="F129" s="40"/>
      <c r="G129" s="40"/>
      <c r="H129" s="40"/>
      <c r="I129" s="40"/>
      <c r="J129" s="40"/>
      <c r="K129" s="40"/>
      <c r="L129" s="40"/>
      <c r="M129" s="40"/>
      <c r="N129" s="40"/>
      <c r="O129" s="40"/>
      <c r="P129" s="40"/>
      <c r="Q129" s="40"/>
      <c r="R129" s="40"/>
      <c r="S129" s="40"/>
      <c r="T129" s="40"/>
      <c r="U129" s="40"/>
      <c r="V129" s="40"/>
      <c r="W129" s="40"/>
      <c r="X129" s="40"/>
      <c r="Y129" s="40"/>
      <c r="Z129" s="40"/>
      <c r="AA129" s="40"/>
    </row>
    <row r="130" spans="6:27" ht="15" thickBot="1" x14ac:dyDescent="0.35">
      <c r="F130" s="40"/>
      <c r="G130" s="40"/>
      <c r="H130" s="40"/>
      <c r="I130" s="40"/>
      <c r="J130" s="40"/>
      <c r="K130" s="40"/>
      <c r="L130" s="40"/>
      <c r="M130" s="40"/>
      <c r="N130" s="40"/>
      <c r="O130" s="40"/>
      <c r="P130" s="40"/>
      <c r="Q130" s="40"/>
      <c r="R130" s="40"/>
      <c r="S130" s="40"/>
      <c r="T130" s="40"/>
      <c r="U130" s="40" t="s">
        <v>53</v>
      </c>
      <c r="V130" s="40"/>
      <c r="W130" s="40"/>
      <c r="X130" s="40"/>
      <c r="Y130" s="40"/>
      <c r="Z130" s="40"/>
      <c r="AA130" s="40"/>
    </row>
    <row r="131" spans="6:27" x14ac:dyDescent="0.3">
      <c r="F131" s="40"/>
      <c r="G131" s="40"/>
      <c r="H131" s="40"/>
      <c r="I131" s="40"/>
      <c r="J131" s="40"/>
      <c r="K131" s="40"/>
      <c r="L131" s="40"/>
      <c r="M131" s="40"/>
      <c r="N131" s="40"/>
      <c r="O131" s="40"/>
      <c r="P131" s="40"/>
      <c r="Q131" s="40"/>
      <c r="R131" s="40"/>
      <c r="S131" s="40"/>
      <c r="T131" s="40"/>
      <c r="U131" s="54" t="s">
        <v>71</v>
      </c>
      <c r="V131" s="54" t="s">
        <v>54</v>
      </c>
      <c r="W131" s="54" t="s">
        <v>55</v>
      </c>
      <c r="X131" s="40"/>
      <c r="Y131" s="40"/>
      <c r="Z131" s="40"/>
      <c r="AA131" s="40"/>
    </row>
    <row r="132" spans="6:27" x14ac:dyDescent="0.3">
      <c r="F132" s="40"/>
      <c r="G132" s="40"/>
      <c r="H132" s="40"/>
      <c r="I132" s="40"/>
      <c r="J132" s="40"/>
      <c r="K132" s="40"/>
      <c r="L132" s="40"/>
      <c r="M132" s="40"/>
      <c r="N132" s="40"/>
      <c r="O132" s="40"/>
      <c r="P132" s="40"/>
      <c r="Q132" s="40"/>
      <c r="R132" s="40"/>
      <c r="S132" s="40"/>
      <c r="T132" s="40"/>
      <c r="U132" s="60" t="s">
        <v>66</v>
      </c>
      <c r="V132" s="40">
        <f>TTEST(P56:P71,Q56:Q71,2,2)</f>
        <v>0.41932074164497823</v>
      </c>
      <c r="W132" s="56" t="str">
        <f>IF(V132&lt;=$V$139,"Yes","No")</f>
        <v>No</v>
      </c>
      <c r="X132" s="40"/>
      <c r="Y132" s="40"/>
      <c r="Z132" s="40"/>
      <c r="AA132" s="40"/>
    </row>
    <row r="133" spans="6:27" x14ac:dyDescent="0.3">
      <c r="F133" s="40"/>
      <c r="G133" s="40"/>
      <c r="H133" s="40"/>
      <c r="I133" s="40"/>
      <c r="J133" s="40"/>
      <c r="K133" s="40"/>
      <c r="L133" s="40"/>
      <c r="M133" s="40"/>
      <c r="N133" s="40"/>
      <c r="O133" s="40"/>
      <c r="P133" s="40"/>
      <c r="Q133" s="40"/>
      <c r="R133" s="40"/>
      <c r="S133" s="40"/>
      <c r="T133" s="40"/>
      <c r="U133" s="60" t="s">
        <v>67</v>
      </c>
      <c r="V133" s="40">
        <f>TTEST(Q56:Q71,R56:R71,2,2)</f>
        <v>1.062402140876349E-3</v>
      </c>
      <c r="W133" s="56" t="str">
        <f>IF(V133&lt;=$V$139,"Yes","No")</f>
        <v>Yes</v>
      </c>
      <c r="X133" s="40"/>
      <c r="Y133" s="40"/>
      <c r="Z133" s="40"/>
      <c r="AA133" s="40"/>
    </row>
    <row r="134" spans="6:27" ht="15" thickBot="1" x14ac:dyDescent="0.35">
      <c r="F134" s="40"/>
      <c r="G134" s="40"/>
      <c r="H134" s="40"/>
      <c r="I134" s="40"/>
      <c r="J134" s="40"/>
      <c r="K134" s="40"/>
      <c r="L134" s="40"/>
      <c r="M134" s="40"/>
      <c r="N134" s="40"/>
      <c r="O134" s="40"/>
      <c r="P134" s="40"/>
      <c r="Q134" s="40"/>
      <c r="R134" s="40"/>
      <c r="S134" s="40"/>
      <c r="T134" s="40"/>
      <c r="U134" s="61" t="s">
        <v>70</v>
      </c>
      <c r="V134" s="47">
        <f>TTEST(R56:R71,P56:P71,2,2)</f>
        <v>6.9973408988607877E-7</v>
      </c>
      <c r="W134" s="56" t="str">
        <f>IF(V134&lt;=$V$139,"Yes","No")</f>
        <v>Yes</v>
      </c>
      <c r="X134" s="40"/>
      <c r="Y134" s="40"/>
      <c r="Z134" s="40"/>
      <c r="AA134" s="40"/>
    </row>
    <row r="135" spans="6:27" x14ac:dyDescent="0.3">
      <c r="F135" s="40"/>
      <c r="G135" s="40"/>
      <c r="H135" s="40"/>
      <c r="I135" s="40"/>
      <c r="J135" s="40"/>
      <c r="K135" s="40"/>
      <c r="L135" s="40"/>
      <c r="M135" s="40"/>
      <c r="N135" s="40"/>
      <c r="O135" s="40"/>
      <c r="P135" s="40"/>
      <c r="Q135" s="40"/>
      <c r="R135" s="40"/>
      <c r="S135" s="40"/>
      <c r="T135" s="40"/>
      <c r="U135" s="40"/>
      <c r="V135" s="40"/>
      <c r="W135" s="40"/>
      <c r="X135" s="40"/>
      <c r="Y135" s="40"/>
      <c r="Z135" s="40"/>
      <c r="AA135" s="40"/>
    </row>
    <row r="136" spans="6:27" ht="15" thickBot="1" x14ac:dyDescent="0.35">
      <c r="F136" s="40"/>
      <c r="G136" s="40"/>
      <c r="H136" s="40"/>
      <c r="I136" s="40"/>
      <c r="J136" s="40"/>
      <c r="K136" s="40"/>
      <c r="L136" s="40"/>
      <c r="M136" s="40"/>
      <c r="N136" s="40"/>
      <c r="O136" s="40"/>
      <c r="P136" s="40"/>
      <c r="Q136" s="40"/>
      <c r="R136" s="40"/>
      <c r="S136" s="40"/>
      <c r="T136" s="40"/>
      <c r="U136" s="40" t="s">
        <v>56</v>
      </c>
      <c r="V136" s="40"/>
      <c r="W136" s="40"/>
      <c r="X136" s="40"/>
      <c r="Y136" s="40"/>
      <c r="Z136" s="40"/>
      <c r="AA136" s="40"/>
    </row>
    <row r="137" spans="6:27" x14ac:dyDescent="0.3">
      <c r="F137" s="40"/>
      <c r="G137" s="40"/>
      <c r="H137" s="40"/>
      <c r="I137" s="40"/>
      <c r="J137" s="40"/>
      <c r="K137" s="40"/>
      <c r="L137" s="40"/>
      <c r="M137" s="40"/>
      <c r="N137" s="40"/>
      <c r="O137" s="40"/>
      <c r="P137" s="40"/>
      <c r="Q137" s="40"/>
      <c r="R137" s="40"/>
      <c r="S137" s="40"/>
      <c r="T137" s="40"/>
      <c r="U137" s="54" t="s">
        <v>57</v>
      </c>
      <c r="V137" s="54" t="s">
        <v>58</v>
      </c>
      <c r="W137" s="40"/>
      <c r="X137" s="40"/>
      <c r="Y137" s="40"/>
      <c r="Z137" s="40"/>
      <c r="AA137" s="40"/>
    </row>
    <row r="138" spans="6:27" x14ac:dyDescent="0.3">
      <c r="F138" s="40"/>
      <c r="G138" s="40"/>
      <c r="H138" s="40"/>
      <c r="I138" s="40"/>
      <c r="J138" s="40"/>
      <c r="K138" s="40"/>
      <c r="L138" s="40"/>
      <c r="M138" s="40"/>
      <c r="N138" s="40"/>
      <c r="O138" s="40"/>
      <c r="P138" s="40"/>
      <c r="Q138" s="40"/>
      <c r="R138" s="40"/>
      <c r="S138" s="40"/>
      <c r="T138" s="40"/>
      <c r="U138" s="40" t="s">
        <v>33</v>
      </c>
      <c r="V138" s="40">
        <v>0.05</v>
      </c>
      <c r="W138" s="40"/>
      <c r="X138" s="40"/>
      <c r="Y138" s="40"/>
      <c r="Z138" s="40"/>
      <c r="AA138" s="40"/>
    </row>
    <row r="139" spans="6:27" ht="15" thickBot="1" x14ac:dyDescent="0.35">
      <c r="F139" s="40"/>
      <c r="G139" s="40"/>
      <c r="H139" s="40"/>
      <c r="I139" s="40"/>
      <c r="J139" s="40"/>
      <c r="K139" s="40"/>
      <c r="L139" s="40"/>
      <c r="M139" s="40"/>
      <c r="N139" s="40"/>
      <c r="O139" s="40"/>
      <c r="P139" s="40"/>
      <c r="Q139" s="40"/>
      <c r="R139" s="40"/>
      <c r="S139" s="40"/>
      <c r="T139" s="40"/>
      <c r="U139" s="47" t="s">
        <v>59</v>
      </c>
      <c r="V139" s="47">
        <f>V138/3</f>
        <v>1.6666666666666666E-2</v>
      </c>
      <c r="W139" s="40"/>
      <c r="X139" s="40"/>
      <c r="Y139" s="40"/>
      <c r="Z139" s="40"/>
      <c r="AA139" s="40"/>
    </row>
    <row r="140" spans="6:27" x14ac:dyDescent="0.3">
      <c r="F140" s="40"/>
      <c r="G140" s="40"/>
      <c r="H140" s="40"/>
      <c r="I140" s="40"/>
      <c r="J140" s="40"/>
      <c r="K140" s="40"/>
      <c r="L140" s="40"/>
      <c r="M140" s="40"/>
      <c r="N140" s="40"/>
      <c r="O140" s="40"/>
      <c r="P140" s="40"/>
      <c r="Q140" s="40"/>
      <c r="R140" s="40"/>
      <c r="S140" s="40"/>
      <c r="T140" s="40"/>
      <c r="U140" s="40"/>
      <c r="V140" s="40"/>
      <c r="W140" s="40"/>
      <c r="X140" s="40"/>
      <c r="Y140" s="40"/>
      <c r="Z140" s="40"/>
      <c r="AA140" s="40"/>
    </row>
    <row r="141" spans="6:27" x14ac:dyDescent="0.3">
      <c r="F141" s="40"/>
      <c r="G141" s="40"/>
      <c r="H141" s="40"/>
      <c r="I141" s="40"/>
      <c r="J141" s="40"/>
      <c r="K141" s="40"/>
      <c r="L141" s="40"/>
      <c r="M141" s="40"/>
      <c r="N141" s="40"/>
      <c r="O141" s="40"/>
      <c r="P141" s="40"/>
      <c r="Q141" s="40"/>
      <c r="R141" s="40"/>
      <c r="S141" s="40"/>
      <c r="T141" s="40"/>
      <c r="U141" s="40"/>
      <c r="V141" s="40"/>
      <c r="W141" s="40"/>
      <c r="X141" s="40"/>
      <c r="Y141" s="40"/>
      <c r="Z141" s="40"/>
      <c r="AA141" s="40"/>
    </row>
    <row r="142" spans="6:27" x14ac:dyDescent="0.3">
      <c r="F142" s="40"/>
      <c r="G142" s="40"/>
      <c r="H142" s="40"/>
      <c r="I142" s="40"/>
      <c r="J142" s="40"/>
      <c r="K142" s="40"/>
      <c r="L142" s="40"/>
      <c r="M142" s="40"/>
      <c r="N142" s="40"/>
      <c r="O142" s="40"/>
      <c r="P142" s="40"/>
      <c r="Q142" s="40"/>
      <c r="R142" s="40"/>
      <c r="S142" s="40"/>
      <c r="T142" s="40"/>
      <c r="U142" s="40"/>
      <c r="V142" s="40"/>
      <c r="W142" s="40"/>
      <c r="X142" s="40"/>
      <c r="Y142" s="40"/>
      <c r="Z142" s="40"/>
      <c r="AA142" s="40"/>
    </row>
    <row r="143" spans="6:27" x14ac:dyDescent="0.3">
      <c r="F143" s="40"/>
      <c r="G143" s="40"/>
      <c r="H143" s="40"/>
      <c r="I143" s="40"/>
      <c r="J143" s="40"/>
      <c r="K143" s="40"/>
      <c r="L143" s="40"/>
      <c r="M143" s="40"/>
      <c r="N143" s="40"/>
      <c r="O143" s="40"/>
      <c r="P143" s="40"/>
      <c r="Q143" s="40"/>
      <c r="R143" s="40"/>
      <c r="S143" s="40"/>
      <c r="T143" s="40"/>
      <c r="U143" s="40"/>
      <c r="V143" s="40"/>
      <c r="W143" s="40"/>
      <c r="X143" s="40"/>
      <c r="Y143" s="40"/>
      <c r="Z143" s="40"/>
      <c r="AA143" s="40"/>
    </row>
    <row r="144" spans="6:27" x14ac:dyDescent="0.3">
      <c r="F144" s="40"/>
      <c r="G144" s="40"/>
      <c r="H144" s="40"/>
      <c r="I144" s="40"/>
      <c r="J144" s="40"/>
      <c r="K144" s="40"/>
      <c r="L144" s="40"/>
      <c r="M144" s="40"/>
      <c r="N144" s="40"/>
      <c r="O144" s="40"/>
      <c r="P144" s="40"/>
      <c r="Q144" s="40"/>
      <c r="R144" s="40"/>
      <c r="S144" s="40"/>
      <c r="T144" s="40"/>
      <c r="U144" s="40"/>
      <c r="V144" s="40"/>
      <c r="W144" s="40"/>
      <c r="X144" s="40"/>
      <c r="Y144" s="40"/>
      <c r="Z144" s="40"/>
      <c r="AA144" s="40"/>
    </row>
    <row r="145" spans="6:27" x14ac:dyDescent="0.3">
      <c r="F145" s="40"/>
      <c r="G145" s="40"/>
      <c r="H145" s="40"/>
      <c r="I145" s="40"/>
      <c r="J145" s="40"/>
      <c r="K145" s="40"/>
      <c r="L145" s="40"/>
      <c r="M145" s="40"/>
      <c r="N145" s="40"/>
      <c r="O145" s="40"/>
      <c r="P145" s="40"/>
      <c r="Q145" s="40"/>
      <c r="R145" s="40"/>
      <c r="S145" s="40"/>
      <c r="T145" s="40"/>
      <c r="U145" s="40"/>
      <c r="V145" s="40"/>
      <c r="W145" s="40"/>
      <c r="X145" s="40"/>
      <c r="Y145" s="40"/>
      <c r="Z145" s="40"/>
      <c r="AA145" s="40"/>
    </row>
    <row r="146" spans="6:27" x14ac:dyDescent="0.3">
      <c r="F146" s="40"/>
      <c r="G146" s="40"/>
      <c r="H146" s="40"/>
      <c r="I146" s="40"/>
      <c r="J146" s="40"/>
      <c r="K146" s="40"/>
      <c r="L146" s="40"/>
      <c r="M146" s="40"/>
      <c r="N146" s="40"/>
      <c r="O146" s="40"/>
      <c r="P146" s="40"/>
      <c r="Q146" s="40"/>
      <c r="R146" s="40"/>
      <c r="S146" s="40"/>
      <c r="T146" s="40"/>
      <c r="U146" s="40"/>
      <c r="V146" s="40"/>
      <c r="W146" s="40"/>
      <c r="X146" s="40"/>
      <c r="Y146" s="40"/>
      <c r="Z146" s="40"/>
      <c r="AA146" s="40"/>
    </row>
    <row r="147" spans="6:27" x14ac:dyDescent="0.3">
      <c r="F147" s="40"/>
      <c r="G147" s="40"/>
      <c r="H147" s="40"/>
      <c r="I147" s="40"/>
      <c r="J147" s="40"/>
      <c r="K147" s="40"/>
      <c r="L147" s="40"/>
      <c r="M147" s="40"/>
      <c r="N147" s="40"/>
      <c r="O147" s="40"/>
      <c r="P147" s="40"/>
      <c r="Q147" s="40"/>
      <c r="R147" s="40"/>
      <c r="S147" s="40"/>
      <c r="T147" s="40"/>
      <c r="U147" s="40"/>
      <c r="V147" s="40"/>
      <c r="W147" s="40"/>
      <c r="X147" s="40"/>
      <c r="Y147" s="40"/>
      <c r="Z147" s="40"/>
      <c r="AA147" s="40"/>
    </row>
    <row r="148" spans="6:27" x14ac:dyDescent="0.3">
      <c r="F148" s="40"/>
      <c r="G148" s="40"/>
      <c r="H148" s="40"/>
      <c r="I148" s="40"/>
      <c r="J148" s="40"/>
      <c r="K148" s="40"/>
      <c r="L148" s="40"/>
      <c r="M148" s="40"/>
      <c r="N148" s="40"/>
      <c r="O148" s="40"/>
      <c r="P148" s="40"/>
      <c r="Q148" s="40"/>
      <c r="R148" s="40"/>
      <c r="S148" s="40"/>
      <c r="T148" s="40"/>
      <c r="U148" s="40"/>
      <c r="V148" s="40"/>
      <c r="W148" s="40"/>
      <c r="X148" s="40"/>
      <c r="Y148" s="40"/>
      <c r="Z148" s="40"/>
      <c r="AA148" s="40"/>
    </row>
    <row r="149" spans="6:27" x14ac:dyDescent="0.3">
      <c r="F149" s="40"/>
      <c r="G149" s="40"/>
      <c r="H149" s="40"/>
      <c r="I149" s="40"/>
      <c r="J149" s="40"/>
      <c r="K149" s="40"/>
      <c r="L149" s="40"/>
      <c r="M149" s="40"/>
      <c r="N149" s="40"/>
      <c r="O149" s="40"/>
      <c r="P149" s="40"/>
      <c r="Q149" s="40"/>
      <c r="R149" s="40"/>
      <c r="S149" s="40"/>
      <c r="T149" s="40"/>
      <c r="U149" s="40"/>
      <c r="V149" s="40"/>
      <c r="W149" s="40"/>
      <c r="X149" s="40"/>
      <c r="Y149" s="40"/>
      <c r="Z149" s="40"/>
      <c r="AA149" s="40"/>
    </row>
    <row r="150" spans="6:27" x14ac:dyDescent="0.3">
      <c r="F150" s="40"/>
      <c r="G150" s="40"/>
      <c r="H150" s="40"/>
      <c r="I150" s="40"/>
      <c r="J150" s="40"/>
      <c r="K150" s="40"/>
      <c r="L150" s="40"/>
      <c r="M150" s="40"/>
      <c r="N150" s="40"/>
      <c r="O150" s="40"/>
      <c r="P150" s="40"/>
      <c r="Q150" s="40"/>
      <c r="R150" s="40"/>
      <c r="S150" s="40"/>
      <c r="T150" s="40"/>
      <c r="U150" s="40"/>
      <c r="V150" s="40"/>
      <c r="W150" s="40"/>
      <c r="X150" s="40"/>
      <c r="Y150" s="40"/>
      <c r="Z150" s="40"/>
      <c r="AA150" s="40"/>
    </row>
    <row r="151" spans="6:27" x14ac:dyDescent="0.3">
      <c r="F151" s="40"/>
      <c r="G151" s="40"/>
      <c r="H151" s="40"/>
      <c r="I151" s="40"/>
      <c r="J151" s="40"/>
      <c r="K151" s="40"/>
      <c r="L151" s="40"/>
      <c r="M151" s="40"/>
      <c r="N151" s="40"/>
      <c r="O151" s="40"/>
      <c r="P151" s="40"/>
      <c r="Q151" s="40"/>
      <c r="R151" s="40"/>
      <c r="S151" s="40"/>
      <c r="T151" s="40"/>
      <c r="U151" s="40"/>
      <c r="V151" s="40"/>
      <c r="W151" s="40"/>
      <c r="X151" s="40"/>
      <c r="Y151" s="40"/>
      <c r="Z151" s="40"/>
      <c r="AA151" s="40"/>
    </row>
    <row r="152" spans="6:27" x14ac:dyDescent="0.3">
      <c r="F152" s="40"/>
      <c r="G152" s="40"/>
      <c r="H152" s="40"/>
      <c r="I152" s="40"/>
      <c r="J152" s="40"/>
      <c r="K152" s="40"/>
      <c r="L152" s="40"/>
      <c r="M152" s="40"/>
      <c r="N152" s="40"/>
      <c r="O152" s="40"/>
      <c r="P152" s="40"/>
      <c r="Q152" s="40"/>
      <c r="R152" s="40"/>
      <c r="S152" s="40"/>
      <c r="T152" s="40"/>
      <c r="U152" s="40"/>
      <c r="V152" s="40"/>
      <c r="W152" s="40"/>
      <c r="X152" s="40"/>
      <c r="Y152" s="40"/>
      <c r="Z152" s="40"/>
      <c r="AA152" s="40"/>
    </row>
    <row r="153" spans="6:27" x14ac:dyDescent="0.3">
      <c r="F153" s="40"/>
      <c r="G153" s="40"/>
      <c r="H153" s="40"/>
      <c r="I153" s="40"/>
      <c r="J153" s="40"/>
      <c r="K153" s="40"/>
      <c r="L153" s="40"/>
      <c r="M153" s="40"/>
      <c r="N153" s="40"/>
      <c r="O153" s="40"/>
      <c r="P153" s="40"/>
      <c r="Q153" s="40"/>
      <c r="R153" s="40"/>
      <c r="S153" s="40"/>
      <c r="T153" s="40"/>
      <c r="U153" s="40"/>
      <c r="V153" s="40"/>
      <c r="W153" s="40"/>
      <c r="X153" s="40"/>
      <c r="Y153" s="40"/>
      <c r="Z153" s="40"/>
      <c r="AA153" s="40"/>
    </row>
    <row r="154" spans="6:27" x14ac:dyDescent="0.3">
      <c r="F154" s="40"/>
      <c r="G154" s="40"/>
      <c r="H154" s="40"/>
      <c r="I154" s="40"/>
      <c r="J154" s="40"/>
      <c r="K154" s="40"/>
      <c r="L154" s="40"/>
      <c r="M154" s="40"/>
      <c r="N154" s="40"/>
      <c r="O154" s="40"/>
      <c r="P154" s="40"/>
      <c r="Q154" s="40"/>
      <c r="R154" s="40"/>
      <c r="S154" s="40"/>
      <c r="T154" s="40"/>
      <c r="U154" s="40"/>
      <c r="V154" s="40"/>
      <c r="W154" s="40"/>
      <c r="X154" s="40"/>
      <c r="Y154" s="40"/>
      <c r="Z154" s="40"/>
      <c r="AA154" s="40"/>
    </row>
    <row r="155" spans="6:27" x14ac:dyDescent="0.3">
      <c r="F155" s="40"/>
      <c r="G155" s="40"/>
      <c r="H155" s="40"/>
      <c r="I155" s="40"/>
      <c r="J155" s="40"/>
      <c r="K155" s="40"/>
      <c r="L155" s="40"/>
      <c r="M155" s="40"/>
      <c r="N155" s="40"/>
      <c r="O155" s="40"/>
      <c r="P155" s="40"/>
      <c r="Q155" s="40"/>
      <c r="R155" s="40"/>
      <c r="S155" s="40"/>
      <c r="T155" s="40"/>
      <c r="U155" s="40"/>
      <c r="V155" s="40"/>
      <c r="W155" s="40"/>
      <c r="X155" s="40"/>
      <c r="Y155" s="40"/>
      <c r="Z155" s="40"/>
      <c r="AA155" s="40"/>
    </row>
  </sheetData>
  <mergeCells count="7">
    <mergeCell ref="O68:O71"/>
    <mergeCell ref="P54:R54"/>
    <mergeCell ref="N56:N71"/>
    <mergeCell ref="I5:P5"/>
    <mergeCell ref="O56:O59"/>
    <mergeCell ref="O60:O63"/>
    <mergeCell ref="O64:O67"/>
  </mergeCells>
  <pageMargins left="0.7" right="0.7" top="0.75" bottom="0.75" header="0.3" footer="0.3"/>
  <ignoredErrors>
    <ignoredError sqref="V132:V134" formulaRange="1"/>
  </ignoredErrors>
  <drawing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0DA9A-A8DA-4663-8FB5-5941B9B64BCB}">
  <dimension ref="A1:AT525"/>
  <sheetViews>
    <sheetView showGridLines="0" topLeftCell="P379" zoomScale="25" zoomScaleNormal="25" workbookViewId="0">
      <selection activeCell="AU400" sqref="AU400"/>
    </sheetView>
  </sheetViews>
  <sheetFormatPr defaultRowHeight="28.2" customHeight="1" x14ac:dyDescent="0.3"/>
  <cols>
    <col min="1" max="1" width="17.77734375" style="24" bestFit="1" customWidth="1"/>
    <col min="2" max="2" width="10.109375" style="24" bestFit="1" customWidth="1"/>
    <col min="3" max="3" width="11.77734375" style="24" bestFit="1" customWidth="1"/>
    <col min="4" max="4" width="14.77734375" style="24" bestFit="1" customWidth="1"/>
    <col min="5" max="5" width="16.88671875" style="24" bestFit="1" customWidth="1"/>
    <col min="6" max="6" width="15.77734375" style="24" bestFit="1" customWidth="1"/>
    <col min="7" max="7" width="19.33203125" style="24" bestFit="1" customWidth="1"/>
    <col min="8" max="8" width="18.5546875" style="24" bestFit="1" customWidth="1"/>
    <col min="9" max="9" width="17.44140625" style="24" bestFit="1" customWidth="1"/>
    <col min="10" max="10" width="8.88671875" style="24"/>
    <col min="11" max="11" width="26.109375" style="24" bestFit="1" customWidth="1"/>
    <col min="12" max="12" width="20.44140625" style="24" bestFit="1" customWidth="1"/>
    <col min="13" max="13" width="26.44140625" style="4" bestFit="1" customWidth="1"/>
    <col min="14" max="14" width="22.5546875" style="4" bestFit="1" customWidth="1"/>
    <col min="15" max="15" width="16.6640625" style="4" bestFit="1" customWidth="1"/>
    <col min="16" max="16" width="26.109375" style="4" bestFit="1" customWidth="1"/>
    <col min="17" max="17" width="16.6640625" style="4" bestFit="1" customWidth="1"/>
    <col min="18" max="18" width="26.109375" style="4" bestFit="1" customWidth="1"/>
    <col min="19" max="19" width="22.88671875" style="4" bestFit="1" customWidth="1"/>
    <col min="20" max="20" width="18.5546875" style="4" bestFit="1" customWidth="1"/>
    <col min="21" max="21" width="23.109375" style="4" bestFit="1" customWidth="1"/>
    <col min="22" max="22" width="16.6640625" style="4" bestFit="1" customWidth="1"/>
    <col min="23" max="23" width="26.44140625" style="4" bestFit="1" customWidth="1"/>
    <col min="24" max="24" width="16.6640625" style="4" bestFit="1" customWidth="1"/>
    <col min="25" max="25" width="24" style="4" bestFit="1" customWidth="1"/>
    <col min="26" max="26" width="22.88671875" style="4" bestFit="1" customWidth="1"/>
    <col min="27" max="27" width="18.5546875" style="4" bestFit="1" customWidth="1"/>
    <col min="28" max="28" width="17.44140625" style="4" bestFit="1" customWidth="1"/>
    <col min="29" max="29" width="16.6640625" style="4" bestFit="1" customWidth="1"/>
    <col min="30" max="30" width="17.44140625" style="4" bestFit="1" customWidth="1"/>
    <col min="31" max="31" width="16.6640625" style="4" bestFit="1" customWidth="1"/>
    <col min="32" max="32" width="17.44140625" style="24" bestFit="1" customWidth="1"/>
    <col min="33" max="33" width="16.6640625" style="24" bestFit="1" customWidth="1"/>
    <col min="34" max="34" width="8.88671875" style="24"/>
    <col min="35" max="35" width="34" style="24" bestFit="1" customWidth="1"/>
    <col min="36" max="36" width="23.44140625" style="24" bestFit="1" customWidth="1"/>
    <col min="37" max="37" width="33.21875" style="24" bestFit="1" customWidth="1"/>
    <col min="38" max="38" width="24" style="24" bestFit="1" customWidth="1"/>
    <col min="39" max="39" width="22.109375" style="24" bestFit="1" customWidth="1"/>
    <col min="40" max="40" width="18.5546875" style="24" bestFit="1" customWidth="1"/>
    <col min="41" max="41" width="17.44140625" style="24" bestFit="1" customWidth="1"/>
    <col min="42" max="42" width="16.6640625" style="24" bestFit="1" customWidth="1"/>
    <col min="43" max="43" width="17.44140625" style="24" bestFit="1" customWidth="1"/>
    <col min="44" max="44" width="16.6640625" style="24" bestFit="1" customWidth="1"/>
    <col min="45" max="45" width="17.44140625" style="24" bestFit="1" customWidth="1"/>
    <col min="46" max="46" width="16.6640625" style="24" bestFit="1" customWidth="1"/>
    <col min="47" max="47" width="33.21875" style="24" bestFit="1" customWidth="1"/>
    <col min="48" max="48" width="27.33203125" style="24" bestFit="1" customWidth="1"/>
    <col min="49" max="16384" width="8.88671875" style="24"/>
  </cols>
  <sheetData>
    <row r="1" spans="1:19" ht="28.2" customHeight="1" thickBot="1" x14ac:dyDescent="0.35">
      <c r="A1" s="24" t="s">
        <v>74</v>
      </c>
      <c r="B1" s="24" t="s">
        <v>0</v>
      </c>
      <c r="C1" s="24" t="s">
        <v>75</v>
      </c>
      <c r="D1" s="24" t="s">
        <v>76</v>
      </c>
      <c r="E1" s="24" t="s">
        <v>77</v>
      </c>
      <c r="F1" s="24" t="s">
        <v>78</v>
      </c>
      <c r="G1" s="24" t="s">
        <v>79</v>
      </c>
      <c r="H1" s="24" t="s">
        <v>80</v>
      </c>
      <c r="I1" s="24" t="s">
        <v>81</v>
      </c>
    </row>
    <row r="2" spans="1:19" ht="28.2" customHeight="1" x14ac:dyDescent="0.3">
      <c r="A2" s="24">
        <v>0</v>
      </c>
      <c r="B2" s="24">
        <v>39</v>
      </c>
      <c r="C2" s="24" t="s">
        <v>82</v>
      </c>
      <c r="D2" s="25">
        <v>13719</v>
      </c>
      <c r="E2" s="24">
        <v>113</v>
      </c>
      <c r="F2" s="24">
        <v>169</v>
      </c>
      <c r="G2" s="24" t="s">
        <v>83</v>
      </c>
      <c r="H2" s="24">
        <v>108</v>
      </c>
      <c r="I2" s="24">
        <v>151.5</v>
      </c>
      <c r="K2" s="5" t="s">
        <v>77</v>
      </c>
      <c r="L2" s="5"/>
      <c r="M2" s="5" t="s">
        <v>78</v>
      </c>
      <c r="N2" s="5"/>
      <c r="P2" s="5" t="s">
        <v>80</v>
      </c>
      <c r="Q2" s="5"/>
      <c r="R2" s="5" t="s">
        <v>81</v>
      </c>
      <c r="S2" s="5"/>
    </row>
    <row r="3" spans="1:19" ht="28.2" customHeight="1" x14ac:dyDescent="0.3">
      <c r="A3" s="24">
        <v>1</v>
      </c>
      <c r="B3" s="24">
        <v>42</v>
      </c>
      <c r="C3" s="24" t="s">
        <v>84</v>
      </c>
      <c r="D3" s="25">
        <v>15116</v>
      </c>
      <c r="E3" s="24">
        <v>113.5</v>
      </c>
      <c r="F3" s="24">
        <v>161.5</v>
      </c>
      <c r="G3" s="24" t="s">
        <v>85</v>
      </c>
      <c r="H3" s="24">
        <v>96</v>
      </c>
      <c r="I3" s="24">
        <v>145.5</v>
      </c>
    </row>
    <row r="4" spans="1:19" ht="28.2" customHeight="1" x14ac:dyDescent="0.3">
      <c r="A4" s="24">
        <v>2</v>
      </c>
      <c r="B4" s="24">
        <v>44</v>
      </c>
      <c r="C4" s="24" t="s">
        <v>82</v>
      </c>
      <c r="D4" s="25">
        <v>24409</v>
      </c>
      <c r="E4" s="24">
        <v>102</v>
      </c>
      <c r="F4" s="24">
        <v>156</v>
      </c>
      <c r="G4" s="24" t="s">
        <v>85</v>
      </c>
      <c r="H4" s="24">
        <v>94.5</v>
      </c>
      <c r="I4" s="24">
        <v>134.5</v>
      </c>
      <c r="K4" s="24" t="s">
        <v>4</v>
      </c>
      <c r="L4" s="24">
        <v>100.40416666666667</v>
      </c>
      <c r="M4" s="4" t="s">
        <v>4</v>
      </c>
      <c r="N4" s="4">
        <v>150.88749999999999</v>
      </c>
      <c r="P4" s="4" t="s">
        <v>4</v>
      </c>
      <c r="Q4" s="4">
        <v>94.387500000000003</v>
      </c>
      <c r="R4" s="4" t="s">
        <v>4</v>
      </c>
      <c r="S4" s="4">
        <v>133.50416666666666</v>
      </c>
    </row>
    <row r="5" spans="1:19" ht="28.2" customHeight="1" x14ac:dyDescent="0.3">
      <c r="A5" s="24">
        <v>3</v>
      </c>
      <c r="B5" s="24">
        <v>47</v>
      </c>
      <c r="C5" s="24" t="s">
        <v>82</v>
      </c>
      <c r="D5" s="25">
        <v>16360</v>
      </c>
      <c r="E5" s="24">
        <v>108.5</v>
      </c>
      <c r="F5" s="24">
        <v>157.5</v>
      </c>
      <c r="G5" s="24" t="s">
        <v>86</v>
      </c>
      <c r="H5" s="24">
        <v>95.5</v>
      </c>
      <c r="I5" s="24">
        <v>134</v>
      </c>
      <c r="K5" s="24" t="s">
        <v>5</v>
      </c>
      <c r="L5" s="24">
        <v>0.46788665436748755</v>
      </c>
      <c r="M5" s="4" t="s">
        <v>5</v>
      </c>
      <c r="N5" s="4">
        <v>0.58408702310548222</v>
      </c>
      <c r="P5" s="4" t="s">
        <v>5</v>
      </c>
      <c r="Q5" s="4">
        <v>0.39735921436163435</v>
      </c>
      <c r="R5" s="4" t="s">
        <v>5</v>
      </c>
      <c r="S5" s="4">
        <v>0.57160567473182122</v>
      </c>
    </row>
    <row r="6" spans="1:19" ht="28.2" customHeight="1" x14ac:dyDescent="0.3">
      <c r="A6" s="24">
        <v>4</v>
      </c>
      <c r="B6" s="24">
        <v>48</v>
      </c>
      <c r="C6" s="24" t="s">
        <v>82</v>
      </c>
      <c r="D6" s="25">
        <v>20597</v>
      </c>
      <c r="E6" s="24">
        <v>106</v>
      </c>
      <c r="F6" s="24">
        <v>159</v>
      </c>
      <c r="G6" s="24" t="s">
        <v>83</v>
      </c>
      <c r="H6" s="24">
        <v>98.5</v>
      </c>
      <c r="I6" s="24">
        <v>137</v>
      </c>
      <c r="K6" s="24" t="s">
        <v>6</v>
      </c>
      <c r="L6" s="24">
        <v>101</v>
      </c>
      <c r="M6" s="4" t="s">
        <v>6</v>
      </c>
      <c r="N6" s="4">
        <v>150.5</v>
      </c>
      <c r="P6" s="4" t="s">
        <v>6</v>
      </c>
      <c r="Q6" s="4">
        <v>94</v>
      </c>
      <c r="R6" s="4" t="s">
        <v>6</v>
      </c>
      <c r="S6" s="4">
        <v>133</v>
      </c>
    </row>
    <row r="7" spans="1:19" ht="28.2" customHeight="1" x14ac:dyDescent="0.3">
      <c r="A7" s="24">
        <v>5</v>
      </c>
      <c r="B7" s="24">
        <v>52</v>
      </c>
      <c r="C7" s="24" t="s">
        <v>84</v>
      </c>
      <c r="D7" s="25">
        <v>14238</v>
      </c>
      <c r="E7" s="24">
        <v>109</v>
      </c>
      <c r="F7" s="24">
        <v>163.5</v>
      </c>
      <c r="G7" s="24" t="s">
        <v>86</v>
      </c>
      <c r="H7" s="24">
        <v>104.5</v>
      </c>
      <c r="I7" s="24">
        <v>140</v>
      </c>
      <c r="K7" s="24" t="s">
        <v>7</v>
      </c>
      <c r="L7" s="24">
        <v>101</v>
      </c>
      <c r="M7" s="4" t="s">
        <v>7</v>
      </c>
      <c r="N7" s="4">
        <v>149</v>
      </c>
      <c r="P7" s="4" t="s">
        <v>7</v>
      </c>
      <c r="Q7" s="4">
        <v>92</v>
      </c>
      <c r="R7" s="4" t="s">
        <v>7</v>
      </c>
      <c r="S7" s="4">
        <v>133.5</v>
      </c>
    </row>
    <row r="8" spans="1:19" ht="28.2" customHeight="1" x14ac:dyDescent="0.3">
      <c r="A8" s="24">
        <v>6</v>
      </c>
      <c r="B8" s="24">
        <v>55</v>
      </c>
      <c r="C8" s="24" t="s">
        <v>82</v>
      </c>
      <c r="D8" s="25">
        <v>18106</v>
      </c>
      <c r="E8" s="24">
        <v>101</v>
      </c>
      <c r="F8" s="24">
        <v>145</v>
      </c>
      <c r="G8" s="24" t="s">
        <v>83</v>
      </c>
      <c r="H8" s="24">
        <v>92</v>
      </c>
      <c r="I8" s="24">
        <v>130</v>
      </c>
      <c r="K8" s="24" t="s">
        <v>8</v>
      </c>
      <c r="L8" s="24">
        <v>5.1254414990539194</v>
      </c>
      <c r="M8" s="4" t="s">
        <v>8</v>
      </c>
      <c r="N8" s="4">
        <v>6.3983527620182752</v>
      </c>
      <c r="P8" s="4" t="s">
        <v>8</v>
      </c>
      <c r="Q8" s="4">
        <v>4.3528521027679581</v>
      </c>
      <c r="R8" s="4" t="s">
        <v>8</v>
      </c>
      <c r="S8" s="4">
        <v>6.2616264409715852</v>
      </c>
    </row>
    <row r="9" spans="1:19" ht="28.2" customHeight="1" x14ac:dyDescent="0.3">
      <c r="A9" s="24">
        <v>7</v>
      </c>
      <c r="B9" s="24">
        <v>58</v>
      </c>
      <c r="C9" s="24" t="s">
        <v>84</v>
      </c>
      <c r="D9" s="25">
        <v>16518</v>
      </c>
      <c r="E9" s="24">
        <v>109.5</v>
      </c>
      <c r="F9" s="24">
        <v>167</v>
      </c>
      <c r="G9" s="24" t="s">
        <v>85</v>
      </c>
      <c r="H9" s="24">
        <v>100</v>
      </c>
      <c r="I9" s="24">
        <v>145.5</v>
      </c>
      <c r="K9" s="24" t="s">
        <v>9</v>
      </c>
      <c r="L9" s="24">
        <v>26.270150560224089</v>
      </c>
      <c r="M9" s="4" t="s">
        <v>9</v>
      </c>
      <c r="N9" s="4">
        <v>40.938918067226894</v>
      </c>
      <c r="P9" s="4" t="s">
        <v>9</v>
      </c>
      <c r="Q9" s="4">
        <v>18.947321428571431</v>
      </c>
      <c r="R9" s="4" t="s">
        <v>9</v>
      </c>
      <c r="S9" s="4">
        <v>39.207965686274484</v>
      </c>
    </row>
    <row r="10" spans="1:19" ht="28.2" customHeight="1" x14ac:dyDescent="0.3">
      <c r="A10" s="24">
        <v>8</v>
      </c>
      <c r="B10" s="24">
        <v>63</v>
      </c>
      <c r="C10" s="24" t="s">
        <v>82</v>
      </c>
      <c r="D10" s="25">
        <v>15734</v>
      </c>
      <c r="E10" s="24">
        <v>104</v>
      </c>
      <c r="F10" s="24">
        <v>152.5</v>
      </c>
      <c r="G10" s="24" t="s">
        <v>85</v>
      </c>
      <c r="H10" s="24">
        <v>95.5</v>
      </c>
      <c r="I10" s="24">
        <v>126</v>
      </c>
      <c r="K10" s="24" t="s">
        <v>10</v>
      </c>
      <c r="L10" s="24">
        <v>-0.16629902420576936</v>
      </c>
      <c r="M10" s="4" t="s">
        <v>10</v>
      </c>
      <c r="N10" s="4">
        <v>0.13453245408098713</v>
      </c>
      <c r="P10" s="4" t="s">
        <v>10</v>
      </c>
      <c r="Q10" s="4">
        <v>0.15261202014766795</v>
      </c>
      <c r="R10" s="4" t="s">
        <v>10</v>
      </c>
      <c r="S10" s="4">
        <v>2.3456913038226723E-3</v>
      </c>
    </row>
    <row r="11" spans="1:19" ht="28.2" customHeight="1" x14ac:dyDescent="0.3">
      <c r="A11" s="24">
        <v>9</v>
      </c>
      <c r="B11" s="24">
        <v>64</v>
      </c>
      <c r="C11" s="24" t="s">
        <v>84</v>
      </c>
      <c r="D11" s="25">
        <v>17381</v>
      </c>
      <c r="E11" s="24">
        <v>103.5</v>
      </c>
      <c r="F11" s="24">
        <v>152.5</v>
      </c>
      <c r="G11" s="24" t="s">
        <v>85</v>
      </c>
      <c r="H11" s="24">
        <v>99</v>
      </c>
      <c r="I11" s="24">
        <v>146.5</v>
      </c>
      <c r="K11" s="24" t="s">
        <v>11</v>
      </c>
      <c r="L11" s="24">
        <v>9.309234738245882E-2</v>
      </c>
      <c r="M11" s="4" t="s">
        <v>11</v>
      </c>
      <c r="N11" s="4">
        <v>0.24850319996855999</v>
      </c>
      <c r="P11" s="4" t="s">
        <v>11</v>
      </c>
      <c r="Q11" s="4">
        <v>0.1375014394303089</v>
      </c>
      <c r="R11" s="4" t="s">
        <v>11</v>
      </c>
      <c r="S11" s="4">
        <v>0.25614344357328322</v>
      </c>
    </row>
    <row r="12" spans="1:19" ht="28.2" customHeight="1" x14ac:dyDescent="0.3">
      <c r="A12" s="24">
        <v>10</v>
      </c>
      <c r="B12" s="24">
        <v>66</v>
      </c>
      <c r="C12" s="24" t="s">
        <v>82</v>
      </c>
      <c r="D12" s="25">
        <v>16774</v>
      </c>
      <c r="E12" s="24">
        <v>108</v>
      </c>
      <c r="F12" s="24">
        <v>154</v>
      </c>
      <c r="G12" s="24" t="s">
        <v>83</v>
      </c>
      <c r="H12" s="24">
        <v>100.5</v>
      </c>
      <c r="I12" s="24">
        <v>140</v>
      </c>
      <c r="K12" s="24" t="s">
        <v>12</v>
      </c>
      <c r="L12" s="24">
        <v>24.5</v>
      </c>
      <c r="M12" s="4" t="s">
        <v>12</v>
      </c>
      <c r="N12" s="4">
        <v>33</v>
      </c>
      <c r="P12" s="4" t="s">
        <v>12</v>
      </c>
      <c r="Q12" s="4">
        <v>25</v>
      </c>
      <c r="R12" s="4" t="s">
        <v>12</v>
      </c>
      <c r="S12" s="4">
        <v>31.5</v>
      </c>
    </row>
    <row r="13" spans="1:19" ht="28.2" customHeight="1" x14ac:dyDescent="0.3">
      <c r="A13" s="24">
        <v>11</v>
      </c>
      <c r="B13" s="24">
        <v>67</v>
      </c>
      <c r="C13" s="24" t="s">
        <v>84</v>
      </c>
      <c r="D13" s="25">
        <v>18735</v>
      </c>
      <c r="E13" s="24">
        <v>103</v>
      </c>
      <c r="F13" s="24">
        <v>162</v>
      </c>
      <c r="G13" s="24" t="s">
        <v>83</v>
      </c>
      <c r="H13" s="24">
        <v>100.5</v>
      </c>
      <c r="I13" s="24">
        <v>140.5</v>
      </c>
      <c r="K13" s="24" t="s">
        <v>13</v>
      </c>
      <c r="L13" s="24">
        <v>89</v>
      </c>
      <c r="M13" s="4" t="s">
        <v>13</v>
      </c>
      <c r="N13" s="4">
        <v>136</v>
      </c>
      <c r="P13" s="4" t="s">
        <v>13</v>
      </c>
      <c r="Q13" s="4">
        <v>83</v>
      </c>
      <c r="R13" s="4" t="s">
        <v>13</v>
      </c>
      <c r="S13" s="4">
        <v>120</v>
      </c>
    </row>
    <row r="14" spans="1:19" ht="28.2" customHeight="1" x14ac:dyDescent="0.3">
      <c r="A14" s="24">
        <v>12</v>
      </c>
      <c r="B14" s="24">
        <v>68</v>
      </c>
      <c r="C14" s="24" t="s">
        <v>84</v>
      </c>
      <c r="D14" s="25">
        <v>25006</v>
      </c>
      <c r="E14" s="24">
        <v>104</v>
      </c>
      <c r="F14" s="24">
        <v>157.5</v>
      </c>
      <c r="G14" s="24" t="s">
        <v>87</v>
      </c>
      <c r="H14" s="24">
        <v>100.5</v>
      </c>
      <c r="I14" s="24">
        <v>138</v>
      </c>
      <c r="K14" s="24" t="s">
        <v>14</v>
      </c>
      <c r="L14" s="24">
        <v>113.5</v>
      </c>
      <c r="M14" s="4" t="s">
        <v>14</v>
      </c>
      <c r="N14" s="4">
        <v>169</v>
      </c>
      <c r="P14" s="4" t="s">
        <v>14</v>
      </c>
      <c r="Q14" s="4">
        <v>108</v>
      </c>
      <c r="R14" s="4" t="s">
        <v>14</v>
      </c>
      <c r="S14" s="4">
        <v>151.5</v>
      </c>
    </row>
    <row r="15" spans="1:19" ht="28.2" customHeight="1" x14ac:dyDescent="0.3">
      <c r="A15" s="24">
        <v>13</v>
      </c>
      <c r="B15" s="24">
        <v>71</v>
      </c>
      <c r="C15" s="24" t="s">
        <v>82</v>
      </c>
      <c r="D15" s="25">
        <v>16852</v>
      </c>
      <c r="E15" s="24">
        <v>104.5</v>
      </c>
      <c r="F15" s="24">
        <v>159</v>
      </c>
      <c r="G15" s="24" t="s">
        <v>87</v>
      </c>
      <c r="H15" s="24">
        <v>99.5</v>
      </c>
      <c r="I15" s="24">
        <v>133.5</v>
      </c>
      <c r="K15" s="24" t="s">
        <v>15</v>
      </c>
      <c r="L15" s="24">
        <v>12048.5</v>
      </c>
      <c r="M15" s="4" t="s">
        <v>15</v>
      </c>
      <c r="N15" s="4">
        <v>18106.5</v>
      </c>
      <c r="P15" s="4" t="s">
        <v>15</v>
      </c>
      <c r="Q15" s="4">
        <v>11326.5</v>
      </c>
      <c r="R15" s="4" t="s">
        <v>15</v>
      </c>
      <c r="S15" s="4">
        <v>16020.5</v>
      </c>
    </row>
    <row r="16" spans="1:19" ht="28.2" customHeight="1" x14ac:dyDescent="0.3">
      <c r="A16" s="24">
        <v>14</v>
      </c>
      <c r="B16" s="24">
        <v>74</v>
      </c>
      <c r="C16" s="24" t="s">
        <v>84</v>
      </c>
      <c r="D16" s="25">
        <v>15050</v>
      </c>
      <c r="E16" s="24">
        <v>101</v>
      </c>
      <c r="F16" s="24">
        <v>154.5</v>
      </c>
      <c r="G16" s="24" t="s">
        <v>85</v>
      </c>
      <c r="H16" s="24">
        <v>97</v>
      </c>
      <c r="I16" s="24">
        <v>137</v>
      </c>
      <c r="K16" s="24" t="s">
        <v>16</v>
      </c>
      <c r="L16" s="24">
        <v>120</v>
      </c>
      <c r="M16" s="4" t="s">
        <v>16</v>
      </c>
      <c r="N16" s="4">
        <v>120</v>
      </c>
      <c r="P16" s="4" t="s">
        <v>16</v>
      </c>
      <c r="Q16" s="4">
        <v>120</v>
      </c>
      <c r="R16" s="4" t="s">
        <v>16</v>
      </c>
      <c r="S16" s="4">
        <v>120</v>
      </c>
    </row>
    <row r="17" spans="1:33" ht="28.2" customHeight="1" thickBot="1" x14ac:dyDescent="0.35">
      <c r="A17" s="24">
        <v>15</v>
      </c>
      <c r="B17" s="24">
        <v>76</v>
      </c>
      <c r="C17" s="24" t="s">
        <v>82</v>
      </c>
      <c r="D17" s="25">
        <v>17980</v>
      </c>
      <c r="E17" s="24">
        <v>105.5</v>
      </c>
      <c r="F17" s="24">
        <v>151</v>
      </c>
      <c r="G17" s="24" t="s">
        <v>85</v>
      </c>
      <c r="H17" s="24">
        <v>93</v>
      </c>
      <c r="I17" s="24">
        <v>133.5</v>
      </c>
      <c r="K17" s="26" t="s">
        <v>17</v>
      </c>
      <c r="L17" s="26">
        <v>0.92646230650891437</v>
      </c>
      <c r="M17" s="6" t="s">
        <v>17</v>
      </c>
      <c r="N17" s="6">
        <v>1.1565506422912688</v>
      </c>
      <c r="P17" s="6" t="s">
        <v>17</v>
      </c>
      <c r="Q17" s="6">
        <v>0.78681093126649992</v>
      </c>
      <c r="R17" s="6" t="s">
        <v>17</v>
      </c>
      <c r="S17" s="6">
        <v>1.1318363259185666</v>
      </c>
    </row>
    <row r="18" spans="1:33" ht="28.2" customHeight="1" thickBot="1" x14ac:dyDescent="0.35">
      <c r="A18" s="24">
        <v>16</v>
      </c>
      <c r="B18" s="24">
        <v>77</v>
      </c>
      <c r="C18" s="24" t="s">
        <v>84</v>
      </c>
      <c r="D18" s="25">
        <v>13617</v>
      </c>
      <c r="E18" s="24">
        <v>105.5</v>
      </c>
      <c r="F18" s="24">
        <v>166</v>
      </c>
      <c r="G18" s="24" t="s">
        <v>86</v>
      </c>
      <c r="H18" s="24">
        <v>99.5</v>
      </c>
      <c r="I18" s="24">
        <v>142</v>
      </c>
      <c r="AC18" s="1"/>
      <c r="AD18" s="1" t="s">
        <v>86</v>
      </c>
      <c r="AE18" s="1" t="s">
        <v>83</v>
      </c>
      <c r="AF18" s="1" t="s">
        <v>85</v>
      </c>
      <c r="AG18" s="1" t="s">
        <v>87</v>
      </c>
    </row>
    <row r="19" spans="1:33" ht="28.2" customHeight="1" x14ac:dyDescent="0.3">
      <c r="A19" s="24">
        <v>17</v>
      </c>
      <c r="B19" s="24">
        <v>79</v>
      </c>
      <c r="C19" s="24" t="s">
        <v>82</v>
      </c>
      <c r="D19" s="25">
        <v>14406</v>
      </c>
      <c r="E19" s="24">
        <v>105</v>
      </c>
      <c r="F19" s="24">
        <v>157</v>
      </c>
      <c r="G19" s="24" t="s">
        <v>83</v>
      </c>
      <c r="H19" s="24">
        <v>100.5</v>
      </c>
      <c r="I19" s="24">
        <v>138.5</v>
      </c>
      <c r="K19" s="39" t="s">
        <v>88</v>
      </c>
      <c r="L19" s="39"/>
      <c r="M19" s="39"/>
      <c r="N19" s="39"/>
      <c r="O19" s="39"/>
      <c r="P19" s="39"/>
      <c r="Q19" s="39"/>
      <c r="R19" s="39"/>
      <c r="AC19" s="1" t="s">
        <v>77</v>
      </c>
      <c r="AD19" s="20">
        <v>102.125</v>
      </c>
      <c r="AE19" s="20">
        <v>99.433333333333337</v>
      </c>
      <c r="AF19" s="20">
        <v>101.175</v>
      </c>
      <c r="AG19" s="20">
        <v>100.825</v>
      </c>
    </row>
    <row r="20" spans="1:33" ht="28.2" customHeight="1" x14ac:dyDescent="0.3">
      <c r="A20" s="24">
        <v>18</v>
      </c>
      <c r="B20" s="24">
        <v>80</v>
      </c>
      <c r="C20" s="24" t="s">
        <v>82</v>
      </c>
      <c r="D20" s="25">
        <v>23319</v>
      </c>
      <c r="E20" s="24">
        <v>106</v>
      </c>
      <c r="F20" s="24">
        <v>158.5</v>
      </c>
      <c r="G20" s="24" t="s">
        <v>86</v>
      </c>
      <c r="H20" s="24">
        <v>95.5</v>
      </c>
      <c r="I20" s="24">
        <v>140.5</v>
      </c>
      <c r="K20" s="27" t="s">
        <v>77</v>
      </c>
      <c r="L20" s="28" t="s">
        <v>4</v>
      </c>
      <c r="M20" s="21" t="s">
        <v>8</v>
      </c>
      <c r="N20" s="21" t="s">
        <v>9</v>
      </c>
      <c r="O20" s="21" t="s">
        <v>13</v>
      </c>
      <c r="P20" s="21" t="s">
        <v>14</v>
      </c>
      <c r="Q20" s="21" t="s">
        <v>15</v>
      </c>
      <c r="R20" s="21" t="s">
        <v>16</v>
      </c>
      <c r="T20" s="7" t="s">
        <v>77</v>
      </c>
      <c r="U20" s="8" t="s">
        <v>4</v>
      </c>
      <c r="AC20" s="1" t="s">
        <v>80</v>
      </c>
      <c r="AD20" s="20">
        <v>94.3</v>
      </c>
      <c r="AE20" s="20">
        <v>95.141666666666666</v>
      </c>
      <c r="AF20" s="20">
        <v>92.825000000000003</v>
      </c>
      <c r="AG20" s="20">
        <v>93.775000000000006</v>
      </c>
    </row>
    <row r="21" spans="1:33" ht="28.2" customHeight="1" x14ac:dyDescent="0.3">
      <c r="A21" s="24">
        <v>19</v>
      </c>
      <c r="B21" s="24">
        <v>81</v>
      </c>
      <c r="C21" s="24" t="s">
        <v>84</v>
      </c>
      <c r="D21" s="25">
        <v>16054</v>
      </c>
      <c r="E21" s="24">
        <v>104.5</v>
      </c>
      <c r="F21" s="24">
        <v>156.5</v>
      </c>
      <c r="G21" s="24" t="s">
        <v>87</v>
      </c>
      <c r="H21" s="24">
        <v>98.5</v>
      </c>
      <c r="I21" s="24">
        <v>131</v>
      </c>
      <c r="K21" s="29" t="s">
        <v>86</v>
      </c>
      <c r="L21" s="24">
        <v>102.125</v>
      </c>
      <c r="M21" s="4">
        <v>4.7068678824838388</v>
      </c>
      <c r="N21" s="4">
        <v>22.154605263157894</v>
      </c>
      <c r="O21" s="4">
        <v>91.5</v>
      </c>
      <c r="P21" s="4">
        <v>109.5</v>
      </c>
      <c r="Q21" s="4">
        <v>2042.5</v>
      </c>
      <c r="R21" s="4">
        <v>20</v>
      </c>
      <c r="T21" s="9" t="s">
        <v>86</v>
      </c>
      <c r="U21" s="15">
        <v>102.125</v>
      </c>
      <c r="AC21" s="24"/>
      <c r="AD21" s="24"/>
      <c r="AE21" s="24"/>
    </row>
    <row r="22" spans="1:33" ht="28.2" customHeight="1" x14ac:dyDescent="0.3">
      <c r="A22" s="24">
        <v>20</v>
      </c>
      <c r="B22" s="24">
        <v>82</v>
      </c>
      <c r="C22" s="24" t="s">
        <v>82</v>
      </c>
      <c r="D22" s="25">
        <v>15544</v>
      </c>
      <c r="E22" s="24">
        <v>102</v>
      </c>
      <c r="F22" s="24">
        <v>155</v>
      </c>
      <c r="G22" s="24" t="s">
        <v>83</v>
      </c>
      <c r="H22" s="24">
        <v>99</v>
      </c>
      <c r="I22" s="24">
        <v>135</v>
      </c>
      <c r="K22" s="29" t="s">
        <v>83</v>
      </c>
      <c r="L22" s="24">
        <v>99.433333333333337</v>
      </c>
      <c r="M22" s="4">
        <v>5.6474583053559186</v>
      </c>
      <c r="N22" s="4">
        <v>31.893785310733541</v>
      </c>
      <c r="O22" s="4">
        <v>89</v>
      </c>
      <c r="P22" s="4">
        <v>113</v>
      </c>
      <c r="Q22" s="4">
        <v>5966</v>
      </c>
      <c r="R22" s="4">
        <v>60</v>
      </c>
      <c r="T22" s="9" t="s">
        <v>83</v>
      </c>
      <c r="U22" s="15">
        <v>99.433333333333337</v>
      </c>
      <c r="AC22" s="24"/>
      <c r="AD22" s="24"/>
      <c r="AE22" s="24"/>
    </row>
    <row r="23" spans="1:33" ht="28.2" customHeight="1" x14ac:dyDescent="0.3">
      <c r="A23" s="24">
        <v>21</v>
      </c>
      <c r="B23" s="24">
        <v>86</v>
      </c>
      <c r="C23" s="24" t="s">
        <v>82</v>
      </c>
      <c r="D23" s="25">
        <v>16690</v>
      </c>
      <c r="E23" s="24">
        <v>102.5</v>
      </c>
      <c r="F23" s="24">
        <v>158</v>
      </c>
      <c r="G23" s="24" t="s">
        <v>86</v>
      </c>
      <c r="H23" s="24">
        <v>95.5</v>
      </c>
      <c r="I23" s="24">
        <v>133.5</v>
      </c>
      <c r="K23" s="29" t="s">
        <v>85</v>
      </c>
      <c r="L23" s="24">
        <v>101.175</v>
      </c>
      <c r="M23" s="4">
        <v>5.0033541381336937</v>
      </c>
      <c r="N23" s="4">
        <v>25.03355263157956</v>
      </c>
      <c r="O23" s="4">
        <v>92</v>
      </c>
      <c r="P23" s="4">
        <v>113.5</v>
      </c>
      <c r="Q23" s="4">
        <v>2023.5</v>
      </c>
      <c r="R23" s="4">
        <v>20</v>
      </c>
      <c r="T23" s="9" t="s">
        <v>85</v>
      </c>
      <c r="U23" s="15">
        <v>101.175</v>
      </c>
      <c r="AC23" s="24"/>
      <c r="AD23" s="24"/>
      <c r="AE23" s="24"/>
    </row>
    <row r="24" spans="1:33" ht="28.2" customHeight="1" x14ac:dyDescent="0.3">
      <c r="A24" s="24">
        <v>22</v>
      </c>
      <c r="B24" s="24">
        <v>89</v>
      </c>
      <c r="C24" s="24" t="s">
        <v>82</v>
      </c>
      <c r="D24" s="25">
        <v>16159</v>
      </c>
      <c r="E24" s="24">
        <v>98</v>
      </c>
      <c r="F24" s="24">
        <v>153</v>
      </c>
      <c r="G24" s="24" t="s">
        <v>87</v>
      </c>
      <c r="H24" s="24">
        <v>91.5</v>
      </c>
      <c r="I24" s="24">
        <v>131.5</v>
      </c>
      <c r="K24" s="29" t="s">
        <v>87</v>
      </c>
      <c r="L24" s="24">
        <v>100.825</v>
      </c>
      <c r="M24" s="4">
        <v>3.3766808679842901</v>
      </c>
      <c r="N24" s="4">
        <v>11.401973684211139</v>
      </c>
      <c r="O24" s="4">
        <v>94.5</v>
      </c>
      <c r="P24" s="4">
        <v>106</v>
      </c>
      <c r="Q24" s="4">
        <v>2016.5</v>
      </c>
      <c r="R24" s="4">
        <v>20</v>
      </c>
      <c r="T24" s="10" t="s">
        <v>87</v>
      </c>
      <c r="U24" s="16">
        <v>100.825</v>
      </c>
      <c r="AC24" s="24"/>
      <c r="AD24" s="24"/>
      <c r="AE24" s="24"/>
    </row>
    <row r="25" spans="1:33" ht="28.2" customHeight="1" x14ac:dyDescent="0.3">
      <c r="A25" s="24">
        <v>23</v>
      </c>
      <c r="B25" s="24">
        <v>90</v>
      </c>
      <c r="C25" s="24" t="s">
        <v>82</v>
      </c>
      <c r="D25" s="25">
        <v>14215</v>
      </c>
      <c r="E25" s="24">
        <v>109.5</v>
      </c>
      <c r="F25" s="24">
        <v>164</v>
      </c>
      <c r="G25" s="24" t="s">
        <v>86</v>
      </c>
      <c r="H25" s="24">
        <v>102</v>
      </c>
      <c r="I25" s="24">
        <v>143</v>
      </c>
      <c r="K25" s="29" t="s">
        <v>22</v>
      </c>
      <c r="L25" s="24">
        <v>100.40416666666667</v>
      </c>
      <c r="M25" s="4">
        <v>5.1254414990539452</v>
      </c>
      <c r="N25" s="4">
        <v>26.270150560224351</v>
      </c>
      <c r="O25" s="4">
        <v>89</v>
      </c>
      <c r="P25" s="4">
        <v>113.5</v>
      </c>
      <c r="Q25" s="4">
        <v>12048.5</v>
      </c>
      <c r="R25" s="4">
        <v>120</v>
      </c>
      <c r="AC25" s="24"/>
      <c r="AD25" s="24"/>
      <c r="AE25" s="24"/>
    </row>
    <row r="26" spans="1:33" ht="28.2" customHeight="1" thickBot="1" x14ac:dyDescent="0.35">
      <c r="A26" s="24">
        <v>24</v>
      </c>
      <c r="B26" s="24">
        <v>92</v>
      </c>
      <c r="C26" s="24" t="s">
        <v>84</v>
      </c>
      <c r="D26" s="25">
        <v>14812</v>
      </c>
      <c r="E26" s="24">
        <v>105</v>
      </c>
      <c r="F26" s="24">
        <v>151</v>
      </c>
      <c r="G26" s="24" t="s">
        <v>87</v>
      </c>
      <c r="H26" s="24">
        <v>99</v>
      </c>
      <c r="I26" s="24">
        <v>141.5</v>
      </c>
      <c r="AC26" s="24"/>
      <c r="AD26" s="24"/>
      <c r="AE26" s="24"/>
    </row>
    <row r="27" spans="1:33" ht="28.2" customHeight="1" x14ac:dyDescent="0.3">
      <c r="A27" s="24">
        <v>25</v>
      </c>
      <c r="B27" s="24">
        <v>94</v>
      </c>
      <c r="C27" s="24" t="s">
        <v>82</v>
      </c>
      <c r="D27" s="25">
        <v>16552</v>
      </c>
      <c r="E27" s="24">
        <v>106.5</v>
      </c>
      <c r="F27" s="24">
        <v>155.5</v>
      </c>
      <c r="G27" s="24" t="s">
        <v>83</v>
      </c>
      <c r="H27" s="24">
        <v>100.5</v>
      </c>
      <c r="I27" s="24">
        <v>138.5</v>
      </c>
      <c r="K27" s="39" t="s">
        <v>89</v>
      </c>
      <c r="L27" s="39"/>
      <c r="M27" s="39"/>
      <c r="N27" s="39"/>
      <c r="O27" s="39"/>
      <c r="P27" s="39"/>
      <c r="Q27" s="39"/>
      <c r="R27" s="39"/>
      <c r="AC27" s="24"/>
      <c r="AD27" s="24"/>
      <c r="AE27" s="24"/>
    </row>
    <row r="28" spans="1:33" ht="28.2" customHeight="1" x14ac:dyDescent="0.3">
      <c r="A28" s="24">
        <v>26</v>
      </c>
      <c r="B28" s="24">
        <v>97</v>
      </c>
      <c r="C28" s="24" t="s">
        <v>84</v>
      </c>
      <c r="D28" s="25">
        <v>14581</v>
      </c>
      <c r="E28" s="24">
        <v>102.5</v>
      </c>
      <c r="F28" s="24">
        <v>156.5</v>
      </c>
      <c r="G28" s="24" t="s">
        <v>86</v>
      </c>
      <c r="H28" s="24">
        <v>96.5</v>
      </c>
      <c r="I28" s="24">
        <v>134.5</v>
      </c>
      <c r="K28" s="27" t="s">
        <v>78</v>
      </c>
      <c r="L28" s="28" t="s">
        <v>4</v>
      </c>
      <c r="M28" s="21" t="s">
        <v>8</v>
      </c>
      <c r="N28" s="21" t="s">
        <v>9</v>
      </c>
      <c r="O28" s="21" t="s">
        <v>13</v>
      </c>
      <c r="P28" s="21" t="s">
        <v>14</v>
      </c>
      <c r="Q28" s="21" t="s">
        <v>15</v>
      </c>
      <c r="R28" s="21" t="s">
        <v>16</v>
      </c>
      <c r="T28" s="7" t="s">
        <v>78</v>
      </c>
      <c r="U28" s="8" t="s">
        <v>4</v>
      </c>
      <c r="AC28" s="24"/>
      <c r="AD28" s="24"/>
      <c r="AE28" s="24"/>
    </row>
    <row r="29" spans="1:33" ht="28.2" customHeight="1" x14ac:dyDescent="0.3">
      <c r="A29" s="24">
        <v>27</v>
      </c>
      <c r="B29" s="24">
        <v>99</v>
      </c>
      <c r="C29" s="24" t="s">
        <v>82</v>
      </c>
      <c r="D29" s="25">
        <v>18794</v>
      </c>
      <c r="E29" s="24">
        <v>105.5</v>
      </c>
      <c r="F29" s="24">
        <v>158.5</v>
      </c>
      <c r="G29" s="24" t="s">
        <v>86</v>
      </c>
      <c r="H29" s="24">
        <v>94</v>
      </c>
      <c r="I29" s="24">
        <v>136</v>
      </c>
      <c r="K29" s="29" t="s">
        <v>86</v>
      </c>
      <c r="L29" s="24">
        <v>152.75</v>
      </c>
      <c r="M29" s="4">
        <v>7.9380827593781635</v>
      </c>
      <c r="N29" s="4">
        <v>63.013157894736842</v>
      </c>
      <c r="O29" s="4">
        <v>141</v>
      </c>
      <c r="P29" s="4">
        <v>166</v>
      </c>
      <c r="Q29" s="4">
        <v>3055</v>
      </c>
      <c r="R29" s="4">
        <v>20</v>
      </c>
      <c r="T29" s="11" t="s">
        <v>86</v>
      </c>
      <c r="U29" s="17">
        <v>152.75</v>
      </c>
      <c r="AC29" s="24"/>
      <c r="AD29" s="24"/>
      <c r="AE29" s="24"/>
    </row>
    <row r="30" spans="1:33" ht="28.2" customHeight="1" x14ac:dyDescent="0.3">
      <c r="A30" s="24">
        <v>28</v>
      </c>
      <c r="B30" s="24">
        <v>100</v>
      </c>
      <c r="C30" s="24" t="s">
        <v>84</v>
      </c>
      <c r="D30" s="25">
        <v>16702</v>
      </c>
      <c r="E30" s="24">
        <v>95.5</v>
      </c>
      <c r="F30" s="24">
        <v>147</v>
      </c>
      <c r="G30" s="24" t="s">
        <v>86</v>
      </c>
      <c r="H30" s="24">
        <v>86.5</v>
      </c>
      <c r="I30" s="24">
        <v>124.5</v>
      </c>
      <c r="K30" s="29" t="s">
        <v>83</v>
      </c>
      <c r="L30" s="24">
        <v>149.59166666666667</v>
      </c>
      <c r="M30" s="4">
        <v>6.1358157129494284</v>
      </c>
      <c r="N30" s="4">
        <v>37.648234463277099</v>
      </c>
      <c r="O30" s="4">
        <v>136</v>
      </c>
      <c r="P30" s="4">
        <v>169</v>
      </c>
      <c r="Q30" s="4">
        <v>8975.5</v>
      </c>
      <c r="R30" s="4">
        <v>60</v>
      </c>
      <c r="T30" s="9" t="s">
        <v>83</v>
      </c>
      <c r="U30" s="15">
        <v>149.59166666666667</v>
      </c>
      <c r="AC30" s="24"/>
      <c r="AD30" s="24"/>
      <c r="AE30" s="24"/>
    </row>
    <row r="31" spans="1:33" ht="28.2" customHeight="1" x14ac:dyDescent="0.3">
      <c r="A31" s="24">
        <v>29</v>
      </c>
      <c r="B31" s="24">
        <v>102</v>
      </c>
      <c r="C31" s="24" t="s">
        <v>84</v>
      </c>
      <c r="D31" s="25">
        <v>14622</v>
      </c>
      <c r="E31" s="24">
        <v>102.5</v>
      </c>
      <c r="F31" s="24">
        <v>156.5</v>
      </c>
      <c r="G31" s="24" t="s">
        <v>83</v>
      </c>
      <c r="H31" s="24">
        <v>96</v>
      </c>
      <c r="I31" s="24">
        <v>137.5</v>
      </c>
      <c r="K31" s="29" t="s">
        <v>85</v>
      </c>
      <c r="L31" s="24">
        <v>152.22499999999999</v>
      </c>
      <c r="M31" s="4">
        <v>6.6539956338080222</v>
      </c>
      <c r="N31" s="4">
        <v>44.275657894736227</v>
      </c>
      <c r="O31" s="4">
        <v>136</v>
      </c>
      <c r="P31" s="4">
        <v>167</v>
      </c>
      <c r="Q31" s="4">
        <v>3044.5</v>
      </c>
      <c r="R31" s="4">
        <v>20</v>
      </c>
      <c r="T31" s="9" t="s">
        <v>85</v>
      </c>
      <c r="U31" s="15">
        <v>152.22499999999999</v>
      </c>
      <c r="AC31" s="24"/>
      <c r="AD31" s="24"/>
      <c r="AE31" s="24"/>
    </row>
    <row r="32" spans="1:33" ht="28.2" customHeight="1" x14ac:dyDescent="0.3">
      <c r="A32" s="24">
        <v>30</v>
      </c>
      <c r="B32" s="24">
        <v>104</v>
      </c>
      <c r="C32" s="24" t="s">
        <v>84</v>
      </c>
      <c r="D32" s="25">
        <v>14226</v>
      </c>
      <c r="E32" s="24">
        <v>102.5</v>
      </c>
      <c r="F32" s="24">
        <v>147</v>
      </c>
      <c r="G32" s="24" t="s">
        <v>83</v>
      </c>
      <c r="H32" s="24">
        <v>91</v>
      </c>
      <c r="I32" s="24">
        <v>133</v>
      </c>
      <c r="K32" s="29" t="s">
        <v>87</v>
      </c>
      <c r="L32" s="24">
        <v>151.57499999999999</v>
      </c>
      <c r="M32" s="4">
        <v>4.5689887168538128</v>
      </c>
      <c r="N32" s="4">
        <v>20.875657894737454</v>
      </c>
      <c r="O32" s="4">
        <v>144</v>
      </c>
      <c r="P32" s="4">
        <v>159</v>
      </c>
      <c r="Q32" s="4">
        <v>3031.5</v>
      </c>
      <c r="R32" s="4">
        <v>20</v>
      </c>
      <c r="T32" s="10" t="s">
        <v>87</v>
      </c>
      <c r="U32" s="16">
        <v>151.57499999999999</v>
      </c>
      <c r="AC32" s="24"/>
      <c r="AD32" s="24"/>
      <c r="AE32" s="24"/>
    </row>
    <row r="33" spans="1:33" ht="28.2" customHeight="1" x14ac:dyDescent="0.3">
      <c r="A33" s="24">
        <v>31</v>
      </c>
      <c r="B33" s="24">
        <v>105</v>
      </c>
      <c r="C33" s="24" t="s">
        <v>82</v>
      </c>
      <c r="D33" s="25">
        <v>20617</v>
      </c>
      <c r="E33" s="24">
        <v>106</v>
      </c>
      <c r="F33" s="24">
        <v>148</v>
      </c>
      <c r="G33" s="24" t="s">
        <v>87</v>
      </c>
      <c r="H33" s="24">
        <v>93.5</v>
      </c>
      <c r="I33" s="24">
        <v>135</v>
      </c>
      <c r="K33" s="29" t="s">
        <v>22</v>
      </c>
      <c r="L33" s="24">
        <v>150.88749999999999</v>
      </c>
      <c r="M33" s="4">
        <v>6.3983527620183978</v>
      </c>
      <c r="N33" s="4">
        <v>40.938918067228457</v>
      </c>
      <c r="O33" s="4">
        <v>136</v>
      </c>
      <c r="P33" s="4">
        <v>169</v>
      </c>
      <c r="Q33" s="4">
        <v>18106.5</v>
      </c>
      <c r="R33" s="4">
        <v>120</v>
      </c>
      <c r="AC33" s="24"/>
      <c r="AD33" s="24"/>
      <c r="AE33" s="24"/>
    </row>
    <row r="34" spans="1:33" ht="28.2" customHeight="1" thickBot="1" x14ac:dyDescent="0.35">
      <c r="A34" s="24">
        <v>32</v>
      </c>
      <c r="B34" s="24">
        <v>107</v>
      </c>
      <c r="C34" s="24" t="s">
        <v>82</v>
      </c>
      <c r="D34" s="25">
        <v>14745</v>
      </c>
      <c r="E34" s="24">
        <v>97.5</v>
      </c>
      <c r="F34" s="24">
        <v>151.5</v>
      </c>
      <c r="G34" s="24" t="s">
        <v>87</v>
      </c>
      <c r="H34" s="24">
        <v>88.5</v>
      </c>
      <c r="I34" s="24">
        <v>132</v>
      </c>
      <c r="AC34" s="24"/>
      <c r="AD34" s="24"/>
      <c r="AE34" s="24"/>
    </row>
    <row r="35" spans="1:33" ht="28.2" customHeight="1" x14ac:dyDescent="0.3">
      <c r="A35" s="24">
        <v>33</v>
      </c>
      <c r="B35" s="24">
        <v>110</v>
      </c>
      <c r="C35" s="24" t="s">
        <v>82</v>
      </c>
      <c r="D35" s="25">
        <v>16364</v>
      </c>
      <c r="E35" s="24">
        <v>102</v>
      </c>
      <c r="F35" s="24">
        <v>155</v>
      </c>
      <c r="G35" s="24" t="s">
        <v>85</v>
      </c>
      <c r="H35" s="24">
        <v>91.5</v>
      </c>
      <c r="I35" s="24">
        <v>137</v>
      </c>
      <c r="K35" s="39" t="s">
        <v>90</v>
      </c>
      <c r="L35" s="39"/>
      <c r="M35" s="39"/>
      <c r="N35" s="39"/>
      <c r="O35" s="39"/>
      <c r="P35" s="39"/>
      <c r="Q35" s="39"/>
      <c r="R35" s="39"/>
      <c r="AC35" s="24"/>
      <c r="AD35" s="24"/>
      <c r="AE35" s="24"/>
    </row>
    <row r="36" spans="1:33" ht="28.2" customHeight="1" x14ac:dyDescent="0.3">
      <c r="A36" s="24">
        <v>34</v>
      </c>
      <c r="B36" s="24">
        <v>113</v>
      </c>
      <c r="C36" s="24" t="s">
        <v>82</v>
      </c>
      <c r="D36" s="25">
        <v>16460</v>
      </c>
      <c r="E36" s="24">
        <v>103</v>
      </c>
      <c r="F36" s="24">
        <v>159</v>
      </c>
      <c r="G36" s="24" t="s">
        <v>87</v>
      </c>
      <c r="H36" s="24">
        <v>94.5</v>
      </c>
      <c r="I36" s="24">
        <v>133</v>
      </c>
      <c r="K36" s="30" t="s">
        <v>80</v>
      </c>
      <c r="L36" s="31" t="s">
        <v>4</v>
      </c>
      <c r="M36" s="22" t="s">
        <v>8</v>
      </c>
      <c r="N36" s="22" t="s">
        <v>9</v>
      </c>
      <c r="O36" s="22" t="s">
        <v>13</v>
      </c>
      <c r="P36" s="22" t="s">
        <v>14</v>
      </c>
      <c r="Q36" s="22" t="s">
        <v>15</v>
      </c>
      <c r="R36" s="22" t="s">
        <v>16</v>
      </c>
      <c r="T36" s="12" t="s">
        <v>80</v>
      </c>
      <c r="U36" s="13" t="s">
        <v>4</v>
      </c>
      <c r="AC36" s="24"/>
      <c r="AD36" s="24"/>
      <c r="AE36" s="24"/>
    </row>
    <row r="37" spans="1:33" ht="28.2" customHeight="1" x14ac:dyDescent="0.3">
      <c r="A37" s="24">
        <v>35</v>
      </c>
      <c r="B37" s="24">
        <v>116</v>
      </c>
      <c r="C37" s="24" t="s">
        <v>82</v>
      </c>
      <c r="D37" s="25">
        <v>14908</v>
      </c>
      <c r="E37" s="24">
        <v>104.5</v>
      </c>
      <c r="F37" s="24">
        <v>154</v>
      </c>
      <c r="G37" s="24" t="s">
        <v>85</v>
      </c>
      <c r="H37" s="24">
        <v>96</v>
      </c>
      <c r="I37" s="24">
        <v>132.5</v>
      </c>
      <c r="K37" s="29" t="s">
        <v>86</v>
      </c>
      <c r="L37" s="24">
        <v>94.3</v>
      </c>
      <c r="M37" s="4">
        <v>4.2283504311281561</v>
      </c>
      <c r="N37" s="4">
        <v>17.878947368421667</v>
      </c>
      <c r="O37" s="4">
        <v>86.5</v>
      </c>
      <c r="P37" s="4">
        <v>104.5</v>
      </c>
      <c r="Q37" s="4">
        <v>1886</v>
      </c>
      <c r="R37" s="4">
        <v>20</v>
      </c>
      <c r="T37" s="14" t="s">
        <v>86</v>
      </c>
      <c r="U37" s="18">
        <v>94.3</v>
      </c>
      <c r="AC37" s="24"/>
      <c r="AD37" s="24"/>
      <c r="AE37" s="24"/>
    </row>
    <row r="38" spans="1:33" ht="28.2" customHeight="1" x14ac:dyDescent="0.3">
      <c r="A38" s="24">
        <v>36</v>
      </c>
      <c r="B38" s="24">
        <v>119</v>
      </c>
      <c r="C38" s="24" t="s">
        <v>84</v>
      </c>
      <c r="D38" s="25">
        <v>16504</v>
      </c>
      <c r="E38" s="24">
        <v>112</v>
      </c>
      <c r="F38" s="24">
        <v>157.5</v>
      </c>
      <c r="G38" s="24" t="s">
        <v>83</v>
      </c>
      <c r="H38" s="24">
        <v>97</v>
      </c>
      <c r="I38" s="24">
        <v>137.5</v>
      </c>
      <c r="K38" s="29" t="s">
        <v>83</v>
      </c>
      <c r="L38" s="24">
        <v>95.141666666666666</v>
      </c>
      <c r="M38" s="4">
        <v>4.4835780077312704</v>
      </c>
      <c r="N38" s="4">
        <v>20.10247175141151</v>
      </c>
      <c r="O38" s="4">
        <v>85.5</v>
      </c>
      <c r="P38" s="4">
        <v>108</v>
      </c>
      <c r="Q38" s="4">
        <v>5708.5</v>
      </c>
      <c r="R38" s="4">
        <v>60</v>
      </c>
      <c r="T38" s="9" t="s">
        <v>83</v>
      </c>
      <c r="U38" s="15">
        <v>95.141666666666666</v>
      </c>
      <c r="AC38" s="1"/>
      <c r="AD38" s="1" t="s">
        <v>86</v>
      </c>
      <c r="AE38" s="1" t="s">
        <v>83</v>
      </c>
      <c r="AF38" s="1" t="s">
        <v>85</v>
      </c>
      <c r="AG38" s="1" t="s">
        <v>87</v>
      </c>
    </row>
    <row r="39" spans="1:33" ht="28.2" customHeight="1" x14ac:dyDescent="0.3">
      <c r="A39" s="24">
        <v>37</v>
      </c>
      <c r="B39" s="24">
        <v>120</v>
      </c>
      <c r="C39" s="24" t="s">
        <v>82</v>
      </c>
      <c r="D39" s="25">
        <v>16651</v>
      </c>
      <c r="E39" s="24">
        <v>104</v>
      </c>
      <c r="F39" s="24">
        <v>153</v>
      </c>
      <c r="G39" s="24" t="s">
        <v>83</v>
      </c>
      <c r="H39" s="24">
        <v>101.5</v>
      </c>
      <c r="I39" s="24">
        <v>143</v>
      </c>
      <c r="K39" s="29" t="s">
        <v>85</v>
      </c>
      <c r="L39" s="24">
        <v>92.825000000000003</v>
      </c>
      <c r="M39" s="4">
        <v>4.6091299555739402</v>
      </c>
      <c r="N39" s="4">
        <v>21.244078947369033</v>
      </c>
      <c r="O39" s="4">
        <v>83</v>
      </c>
      <c r="P39" s="4">
        <v>100</v>
      </c>
      <c r="Q39" s="4">
        <v>1856.5</v>
      </c>
      <c r="R39" s="4">
        <v>20</v>
      </c>
      <c r="T39" s="9" t="s">
        <v>85</v>
      </c>
      <c r="U39" s="15">
        <v>92.825000000000003</v>
      </c>
      <c r="AC39" s="1" t="s">
        <v>78</v>
      </c>
      <c r="AD39" s="20">
        <v>152.75</v>
      </c>
      <c r="AE39" s="20">
        <v>149.59166666666667</v>
      </c>
      <c r="AF39" s="20">
        <v>152.22499999999999</v>
      </c>
      <c r="AG39" s="20">
        <v>151.57499999999999</v>
      </c>
    </row>
    <row r="40" spans="1:33" ht="28.2" customHeight="1" x14ac:dyDescent="0.3">
      <c r="A40" s="24">
        <v>38</v>
      </c>
      <c r="B40" s="24">
        <v>122</v>
      </c>
      <c r="C40" s="24" t="s">
        <v>84</v>
      </c>
      <c r="D40" s="25">
        <v>20544</v>
      </c>
      <c r="E40" s="24">
        <v>104</v>
      </c>
      <c r="F40" s="24">
        <v>147</v>
      </c>
      <c r="G40" s="24" t="s">
        <v>86</v>
      </c>
      <c r="H40" s="24">
        <v>93.5</v>
      </c>
      <c r="I40" s="24">
        <v>129</v>
      </c>
      <c r="K40" s="29" t="s">
        <v>87</v>
      </c>
      <c r="L40" s="24">
        <v>93.775000000000006</v>
      </c>
      <c r="M40" s="4">
        <v>3.5149118428713519</v>
      </c>
      <c r="N40" s="4">
        <v>12.354605263157282</v>
      </c>
      <c r="O40" s="4">
        <v>88.5</v>
      </c>
      <c r="P40" s="4">
        <v>100.5</v>
      </c>
      <c r="Q40" s="4">
        <v>1875.5</v>
      </c>
      <c r="R40" s="4">
        <v>20</v>
      </c>
      <c r="T40" s="10" t="s">
        <v>87</v>
      </c>
      <c r="U40" s="16">
        <v>93.775000000000006</v>
      </c>
      <c r="AC40" s="1" t="s">
        <v>81</v>
      </c>
      <c r="AD40" s="20">
        <v>132.67500000000001</v>
      </c>
      <c r="AE40" s="20">
        <v>134.33000000000001</v>
      </c>
      <c r="AF40" s="20">
        <v>132.92500000000001</v>
      </c>
      <c r="AG40" s="20">
        <v>132.42500000000001</v>
      </c>
    </row>
    <row r="41" spans="1:33" ht="28.2" customHeight="1" x14ac:dyDescent="0.3">
      <c r="A41" s="24">
        <v>39</v>
      </c>
      <c r="B41" s="24">
        <v>125</v>
      </c>
      <c r="C41" s="24" t="s">
        <v>82</v>
      </c>
      <c r="D41" s="25">
        <v>14843</v>
      </c>
      <c r="E41" s="24">
        <v>100.5</v>
      </c>
      <c r="F41" s="24">
        <v>148</v>
      </c>
      <c r="G41" s="24" t="s">
        <v>83</v>
      </c>
      <c r="H41" s="24">
        <v>97.5</v>
      </c>
      <c r="I41" s="24">
        <v>132</v>
      </c>
      <c r="K41" s="32" t="s">
        <v>22</v>
      </c>
      <c r="L41" s="33">
        <v>94.387500000000003</v>
      </c>
      <c r="M41" s="23">
        <v>4.3528521027679128</v>
      </c>
      <c r="N41" s="23">
        <v>18.947321428571037</v>
      </c>
      <c r="O41" s="23">
        <v>83</v>
      </c>
      <c r="P41" s="23">
        <v>108</v>
      </c>
      <c r="Q41" s="23">
        <v>11326.5</v>
      </c>
      <c r="R41" s="23">
        <v>120</v>
      </c>
      <c r="AC41" s="24"/>
      <c r="AD41" s="24"/>
      <c r="AE41" s="24"/>
    </row>
    <row r="42" spans="1:33" ht="28.2" customHeight="1" thickBot="1" x14ac:dyDescent="0.35">
      <c r="A42" s="24">
        <v>40</v>
      </c>
      <c r="B42" s="24">
        <v>126</v>
      </c>
      <c r="C42" s="24" t="s">
        <v>82</v>
      </c>
      <c r="D42" s="25">
        <v>16047</v>
      </c>
      <c r="E42" s="24">
        <v>103</v>
      </c>
      <c r="F42" s="24">
        <v>152.5</v>
      </c>
      <c r="G42" s="24" t="s">
        <v>83</v>
      </c>
      <c r="H42" s="24">
        <v>99.5</v>
      </c>
      <c r="I42" s="24">
        <v>139</v>
      </c>
      <c r="AC42" s="24"/>
      <c r="AD42" s="24"/>
      <c r="AE42" s="24"/>
    </row>
    <row r="43" spans="1:33" ht="28.2" customHeight="1" x14ac:dyDescent="0.3">
      <c r="A43" s="24">
        <v>41</v>
      </c>
      <c r="B43" s="24">
        <v>128</v>
      </c>
      <c r="C43" s="24" t="s">
        <v>84</v>
      </c>
      <c r="D43" s="25">
        <v>18077</v>
      </c>
      <c r="E43" s="24">
        <v>101.5</v>
      </c>
      <c r="F43" s="24">
        <v>152</v>
      </c>
      <c r="G43" s="24" t="s">
        <v>83</v>
      </c>
      <c r="H43" s="24">
        <v>99.5</v>
      </c>
      <c r="I43" s="24">
        <v>142.5</v>
      </c>
      <c r="K43" s="39" t="s">
        <v>91</v>
      </c>
      <c r="L43" s="39"/>
      <c r="M43" s="39"/>
      <c r="N43" s="39"/>
      <c r="O43" s="39"/>
      <c r="P43" s="39"/>
      <c r="Q43" s="39"/>
      <c r="R43" s="39"/>
      <c r="AC43" s="24"/>
      <c r="AD43" s="24"/>
      <c r="AE43" s="24"/>
    </row>
    <row r="44" spans="1:33" ht="28.2" customHeight="1" x14ac:dyDescent="0.3">
      <c r="A44" s="24">
        <v>42</v>
      </c>
      <c r="B44" s="24">
        <v>129</v>
      </c>
      <c r="C44" s="24" t="s">
        <v>84</v>
      </c>
      <c r="D44" s="25">
        <v>16765</v>
      </c>
      <c r="E44" s="24">
        <v>108.5</v>
      </c>
      <c r="F44" s="24">
        <v>155.5</v>
      </c>
      <c r="G44" s="24" t="s">
        <v>83</v>
      </c>
      <c r="H44" s="24">
        <v>99</v>
      </c>
      <c r="I44" s="24">
        <v>142</v>
      </c>
      <c r="K44" s="34" t="s">
        <v>81</v>
      </c>
      <c r="L44" s="28" t="s">
        <v>4</v>
      </c>
      <c r="M44" s="21" t="s">
        <v>8</v>
      </c>
      <c r="N44" s="21" t="s">
        <v>9</v>
      </c>
      <c r="O44" s="21" t="s">
        <v>13</v>
      </c>
      <c r="P44" s="21" t="s">
        <v>14</v>
      </c>
      <c r="Q44" s="21" t="s">
        <v>15</v>
      </c>
      <c r="R44" s="21" t="s">
        <v>16</v>
      </c>
      <c r="T44" s="7" t="s">
        <v>81</v>
      </c>
      <c r="U44" s="8" t="s">
        <v>4</v>
      </c>
      <c r="AC44" s="24"/>
      <c r="AD44" s="24"/>
      <c r="AE44" s="24"/>
    </row>
    <row r="45" spans="1:33" ht="28.2" customHeight="1" x14ac:dyDescent="0.3">
      <c r="A45" s="24">
        <v>43</v>
      </c>
      <c r="B45" s="24">
        <v>130</v>
      </c>
      <c r="C45" s="24" t="s">
        <v>82</v>
      </c>
      <c r="D45" s="25">
        <v>17519</v>
      </c>
      <c r="E45" s="24">
        <v>100.5</v>
      </c>
      <c r="F45" s="24">
        <v>142</v>
      </c>
      <c r="G45" s="24" t="s">
        <v>86</v>
      </c>
      <c r="H45" s="24">
        <v>92</v>
      </c>
      <c r="I45" s="24">
        <v>127</v>
      </c>
      <c r="K45" s="29" t="s">
        <v>86</v>
      </c>
      <c r="L45" s="24">
        <v>132.67500000000001</v>
      </c>
      <c r="M45" s="4">
        <v>7.5590221450578055</v>
      </c>
      <c r="N45" s="4">
        <v>57.1388157894743</v>
      </c>
      <c r="O45" s="4">
        <v>120.5</v>
      </c>
      <c r="P45" s="4">
        <v>150</v>
      </c>
      <c r="Q45" s="4">
        <v>2653.5</v>
      </c>
      <c r="R45" s="4">
        <v>20</v>
      </c>
      <c r="T45" s="11" t="s">
        <v>86</v>
      </c>
      <c r="U45" s="17">
        <v>132.67500000000001</v>
      </c>
      <c r="AC45" s="24"/>
      <c r="AD45" s="24"/>
      <c r="AE45" s="24"/>
    </row>
    <row r="46" spans="1:33" ht="28.2" customHeight="1" x14ac:dyDescent="0.3">
      <c r="A46" s="24">
        <v>44</v>
      </c>
      <c r="B46" s="24">
        <v>131</v>
      </c>
      <c r="C46" s="24" t="s">
        <v>84</v>
      </c>
      <c r="D46" s="25">
        <v>17204</v>
      </c>
      <c r="E46" s="24">
        <v>101</v>
      </c>
      <c r="F46" s="24">
        <v>156.5</v>
      </c>
      <c r="G46" s="24" t="s">
        <v>85</v>
      </c>
      <c r="H46" s="24">
        <v>97</v>
      </c>
      <c r="I46" s="24">
        <v>143.5</v>
      </c>
      <c r="K46" s="29" t="s">
        <v>83</v>
      </c>
      <c r="L46" s="24">
        <v>134.33333333333334</v>
      </c>
      <c r="M46" s="4">
        <v>5.9863309457537577</v>
      </c>
      <c r="N46" s="4">
        <v>35.83615819208908</v>
      </c>
      <c r="O46" s="4">
        <v>120.5</v>
      </c>
      <c r="P46" s="4">
        <v>151.5</v>
      </c>
      <c r="Q46" s="4">
        <v>8060</v>
      </c>
      <c r="R46" s="4">
        <v>60</v>
      </c>
      <c r="T46" s="9" t="s">
        <v>83</v>
      </c>
      <c r="U46" s="15">
        <v>134.33000000000001</v>
      </c>
      <c r="AC46" s="24"/>
      <c r="AD46" s="24"/>
      <c r="AE46" s="24"/>
    </row>
    <row r="47" spans="1:33" ht="28.2" customHeight="1" x14ac:dyDescent="0.3">
      <c r="A47" s="24">
        <v>45</v>
      </c>
      <c r="B47" s="24">
        <v>134</v>
      </c>
      <c r="C47" s="24" t="s">
        <v>82</v>
      </c>
      <c r="D47" s="25">
        <v>18121</v>
      </c>
      <c r="E47" s="24">
        <v>111.5</v>
      </c>
      <c r="F47" s="24">
        <v>161.5</v>
      </c>
      <c r="G47" s="24" t="s">
        <v>83</v>
      </c>
      <c r="H47" s="24">
        <v>101</v>
      </c>
      <c r="I47" s="24">
        <v>143.5</v>
      </c>
      <c r="K47" s="29" t="s">
        <v>85</v>
      </c>
      <c r="L47" s="24">
        <v>132.92500000000001</v>
      </c>
      <c r="M47" s="4">
        <v>7.7021442673965854</v>
      </c>
      <c r="N47" s="4">
        <v>59.323026315790088</v>
      </c>
      <c r="O47" s="4">
        <v>120</v>
      </c>
      <c r="P47" s="4">
        <v>146.5</v>
      </c>
      <c r="Q47" s="4">
        <v>2658.5</v>
      </c>
      <c r="R47" s="4">
        <v>20</v>
      </c>
      <c r="T47" s="9" t="s">
        <v>85</v>
      </c>
      <c r="U47" s="15">
        <v>132.92500000000001</v>
      </c>
      <c r="AC47" s="24"/>
      <c r="AD47" s="24"/>
      <c r="AE47" s="24"/>
    </row>
    <row r="48" spans="1:33" ht="28.2" customHeight="1" x14ac:dyDescent="0.3">
      <c r="A48" s="24">
        <v>46</v>
      </c>
      <c r="B48" s="24">
        <v>136</v>
      </c>
      <c r="C48" s="24" t="s">
        <v>84</v>
      </c>
      <c r="D48" s="25">
        <v>17208</v>
      </c>
      <c r="E48" s="24">
        <v>95</v>
      </c>
      <c r="F48" s="24">
        <v>150.5</v>
      </c>
      <c r="G48" s="24" t="s">
        <v>83</v>
      </c>
      <c r="H48" s="24">
        <v>89.5</v>
      </c>
      <c r="I48" s="24">
        <v>136</v>
      </c>
      <c r="K48" s="29" t="s">
        <v>87</v>
      </c>
      <c r="L48" s="24">
        <v>132.42500000000001</v>
      </c>
      <c r="M48" s="4">
        <v>3.6536751504839304</v>
      </c>
      <c r="N48" s="4">
        <v>13.349342105263771</v>
      </c>
      <c r="O48" s="4">
        <v>123</v>
      </c>
      <c r="P48" s="4">
        <v>141.5</v>
      </c>
      <c r="Q48" s="4">
        <v>2648.5</v>
      </c>
      <c r="R48" s="4">
        <v>20</v>
      </c>
      <c r="T48" s="10" t="s">
        <v>87</v>
      </c>
      <c r="U48" s="16">
        <v>132.42500000000001</v>
      </c>
      <c r="AC48" s="24"/>
      <c r="AD48" s="24"/>
      <c r="AE48" s="24"/>
    </row>
    <row r="49" spans="1:31" ht="28.2" customHeight="1" x14ac:dyDescent="0.3">
      <c r="A49" s="24">
        <v>47</v>
      </c>
      <c r="B49" s="24">
        <v>140</v>
      </c>
      <c r="C49" s="24" t="s">
        <v>82</v>
      </c>
      <c r="D49" s="25">
        <v>14383</v>
      </c>
      <c r="E49" s="24">
        <v>101.5</v>
      </c>
      <c r="F49" s="24">
        <v>152</v>
      </c>
      <c r="G49" s="24" t="s">
        <v>83</v>
      </c>
      <c r="H49" s="24">
        <v>96.5</v>
      </c>
      <c r="I49" s="24">
        <v>133</v>
      </c>
      <c r="K49" s="35" t="s">
        <v>22</v>
      </c>
      <c r="L49" s="28">
        <v>133.50416666666666</v>
      </c>
      <c r="M49" s="21">
        <v>6.2616264409716704</v>
      </c>
      <c r="N49" s="21">
        <v>39.20796568627555</v>
      </c>
      <c r="O49" s="21">
        <v>120</v>
      </c>
      <c r="P49" s="21">
        <v>151.5</v>
      </c>
      <c r="Q49" s="21">
        <v>16020.5</v>
      </c>
      <c r="R49" s="21">
        <v>120</v>
      </c>
      <c r="AC49" s="24"/>
      <c r="AD49" s="24"/>
      <c r="AE49" s="24"/>
    </row>
    <row r="50" spans="1:31" ht="28.2" customHeight="1" x14ac:dyDescent="0.3">
      <c r="A50" s="24">
        <v>48</v>
      </c>
      <c r="B50" s="24">
        <v>142</v>
      </c>
      <c r="C50" s="24" t="s">
        <v>82</v>
      </c>
      <c r="D50" s="25">
        <v>15003</v>
      </c>
      <c r="E50" s="24">
        <v>103.5</v>
      </c>
      <c r="F50" s="24">
        <v>151.5</v>
      </c>
      <c r="G50" s="24" t="s">
        <v>86</v>
      </c>
      <c r="H50" s="24">
        <v>91.5</v>
      </c>
      <c r="I50" s="24">
        <v>130.5</v>
      </c>
      <c r="AC50" s="24"/>
      <c r="AD50" s="24"/>
      <c r="AE50" s="24"/>
    </row>
    <row r="51" spans="1:31" ht="28.2" customHeight="1" thickBot="1" x14ac:dyDescent="0.35">
      <c r="A51" s="24">
        <v>49</v>
      </c>
      <c r="B51" s="24">
        <v>143</v>
      </c>
      <c r="C51" s="24" t="s">
        <v>82</v>
      </c>
      <c r="D51" s="25">
        <v>15877</v>
      </c>
      <c r="E51" s="24">
        <v>101</v>
      </c>
      <c r="F51" s="24">
        <v>149.5</v>
      </c>
      <c r="G51" s="24" t="s">
        <v>87</v>
      </c>
      <c r="H51" s="24">
        <v>95</v>
      </c>
      <c r="I51" s="24">
        <v>132.5</v>
      </c>
      <c r="AC51" s="24"/>
      <c r="AD51" s="24"/>
      <c r="AE51" s="24"/>
    </row>
    <row r="52" spans="1:31" ht="28.2" customHeight="1" x14ac:dyDescent="0.3">
      <c r="A52" s="24">
        <v>50</v>
      </c>
      <c r="B52" s="24">
        <v>145</v>
      </c>
      <c r="C52" s="24" t="s">
        <v>82</v>
      </c>
      <c r="D52" s="25">
        <v>18314</v>
      </c>
      <c r="E52" s="24">
        <v>105.5</v>
      </c>
      <c r="F52" s="24">
        <v>151</v>
      </c>
      <c r="G52" s="24" t="s">
        <v>83</v>
      </c>
      <c r="H52" s="24">
        <v>95.5</v>
      </c>
      <c r="I52" s="24">
        <v>141</v>
      </c>
      <c r="K52" s="19" t="s">
        <v>77</v>
      </c>
      <c r="L52" s="19" t="s">
        <v>80</v>
      </c>
      <c r="N52" s="5"/>
      <c r="O52" s="5" t="s">
        <v>77</v>
      </c>
      <c r="P52" s="5" t="s">
        <v>80</v>
      </c>
      <c r="R52" s="24" t="s">
        <v>92</v>
      </c>
      <c r="S52" s="24"/>
      <c r="T52" s="24"/>
      <c r="U52" s="24"/>
      <c r="V52" s="24"/>
      <c r="W52" s="24"/>
      <c r="X52" s="24"/>
      <c r="Y52" s="24"/>
      <c r="Z52" s="24"/>
      <c r="AC52" s="24"/>
      <c r="AD52" s="24"/>
      <c r="AE52" s="24"/>
    </row>
    <row r="53" spans="1:31" ht="28.2" customHeight="1" thickBot="1" x14ac:dyDescent="0.35">
      <c r="A53" s="24">
        <v>51</v>
      </c>
      <c r="B53" s="24">
        <v>148</v>
      </c>
      <c r="C53" s="24" t="s">
        <v>84</v>
      </c>
      <c r="D53" s="25">
        <v>17341</v>
      </c>
      <c r="E53" s="24">
        <v>97</v>
      </c>
      <c r="F53" s="24">
        <v>152.5</v>
      </c>
      <c r="G53" s="24" t="s">
        <v>83</v>
      </c>
      <c r="H53" s="24">
        <v>93.5</v>
      </c>
      <c r="I53" s="24">
        <v>133.5</v>
      </c>
      <c r="K53" s="1">
        <v>113</v>
      </c>
      <c r="L53" s="1">
        <v>108</v>
      </c>
      <c r="N53" s="4" t="s">
        <v>77</v>
      </c>
      <c r="O53" s="4">
        <v>1</v>
      </c>
      <c r="R53" s="24"/>
      <c r="S53" s="24"/>
      <c r="T53" s="24"/>
      <c r="U53" s="24"/>
      <c r="V53" s="24"/>
      <c r="W53" s="24"/>
      <c r="X53" s="24"/>
      <c r="Y53" s="24"/>
      <c r="Z53" s="24"/>
      <c r="AC53" s="24"/>
      <c r="AD53" s="24"/>
      <c r="AE53" s="24"/>
    </row>
    <row r="54" spans="1:31" ht="28.2" customHeight="1" thickBot="1" x14ac:dyDescent="0.35">
      <c r="A54" s="24">
        <v>52</v>
      </c>
      <c r="B54" s="24">
        <v>149</v>
      </c>
      <c r="C54" s="24" t="s">
        <v>84</v>
      </c>
      <c r="D54" s="25">
        <v>14440</v>
      </c>
      <c r="E54" s="24">
        <v>96.5</v>
      </c>
      <c r="F54" s="24">
        <v>148</v>
      </c>
      <c r="G54" s="24" t="s">
        <v>85</v>
      </c>
      <c r="H54" s="24">
        <v>95</v>
      </c>
      <c r="I54" s="24">
        <v>131</v>
      </c>
      <c r="K54" s="1">
        <v>113.5</v>
      </c>
      <c r="L54" s="1">
        <v>96</v>
      </c>
      <c r="N54" s="6" t="s">
        <v>80</v>
      </c>
      <c r="O54" s="6">
        <v>0.65923017284091945</v>
      </c>
      <c r="P54" s="6">
        <v>1</v>
      </c>
      <c r="R54" s="36" t="s">
        <v>93</v>
      </c>
      <c r="S54" s="36"/>
      <c r="T54" s="24"/>
      <c r="U54" s="24"/>
      <c r="V54" s="24"/>
      <c r="W54" s="24"/>
      <c r="X54" s="24"/>
      <c r="Y54" s="24"/>
      <c r="Z54" s="24"/>
      <c r="AC54" s="24"/>
      <c r="AD54" s="24"/>
      <c r="AE54" s="24"/>
    </row>
    <row r="55" spans="1:31" ht="28.2" customHeight="1" x14ac:dyDescent="0.3">
      <c r="A55" s="24">
        <v>53</v>
      </c>
      <c r="B55" s="24">
        <v>151</v>
      </c>
      <c r="C55" s="24" t="s">
        <v>84</v>
      </c>
      <c r="D55" s="25">
        <v>15438</v>
      </c>
      <c r="E55" s="24">
        <v>99</v>
      </c>
      <c r="F55" s="24">
        <v>149</v>
      </c>
      <c r="G55" s="24" t="s">
        <v>87</v>
      </c>
      <c r="H55" s="24">
        <v>93</v>
      </c>
      <c r="I55" s="24">
        <v>134</v>
      </c>
      <c r="K55" s="1">
        <v>102</v>
      </c>
      <c r="L55" s="1">
        <v>94.5</v>
      </c>
      <c r="R55" s="24" t="s">
        <v>94</v>
      </c>
      <c r="S55" s="24">
        <v>0.65923017284091856</v>
      </c>
      <c r="T55" s="24"/>
      <c r="U55" s="24"/>
      <c r="V55" s="24"/>
      <c r="W55" s="24"/>
      <c r="X55" s="24"/>
      <c r="Y55" s="24"/>
      <c r="Z55" s="24"/>
      <c r="AC55" s="24"/>
      <c r="AD55" s="24"/>
      <c r="AE55" s="24"/>
    </row>
    <row r="56" spans="1:31" ht="28.2" customHeight="1" x14ac:dyDescent="0.3">
      <c r="A56" s="24">
        <v>54</v>
      </c>
      <c r="B56" s="24">
        <v>154</v>
      </c>
      <c r="C56" s="24" t="s">
        <v>84</v>
      </c>
      <c r="D56" s="25">
        <v>19738</v>
      </c>
      <c r="E56" s="24">
        <v>103.5</v>
      </c>
      <c r="F56" s="24">
        <v>159.5</v>
      </c>
      <c r="G56" s="24" t="s">
        <v>86</v>
      </c>
      <c r="H56" s="24">
        <v>96.5</v>
      </c>
      <c r="I56" s="24">
        <v>150</v>
      </c>
      <c r="K56" s="1">
        <v>108.5</v>
      </c>
      <c r="L56" s="1">
        <v>95.5</v>
      </c>
      <c r="R56" s="24" t="s">
        <v>95</v>
      </c>
      <c r="S56" s="24">
        <v>0.43458442078386733</v>
      </c>
      <c r="T56" s="24"/>
      <c r="U56" s="24"/>
      <c r="V56" s="24"/>
      <c r="W56" s="24"/>
      <c r="X56" s="24"/>
      <c r="Y56" s="24"/>
      <c r="Z56" s="24"/>
      <c r="AC56" s="24"/>
      <c r="AD56" s="24"/>
      <c r="AE56" s="24"/>
    </row>
    <row r="57" spans="1:31" ht="28.2" customHeight="1" x14ac:dyDescent="0.3">
      <c r="A57" s="24">
        <v>55</v>
      </c>
      <c r="B57" s="24">
        <v>155</v>
      </c>
      <c r="C57" s="24" t="s">
        <v>84</v>
      </c>
      <c r="D57" s="25">
        <v>13774</v>
      </c>
      <c r="E57" s="24">
        <v>100</v>
      </c>
      <c r="F57" s="24">
        <v>152</v>
      </c>
      <c r="G57" s="24" t="s">
        <v>83</v>
      </c>
      <c r="H57" s="24">
        <v>100</v>
      </c>
      <c r="I57" s="24">
        <v>132.5</v>
      </c>
      <c r="K57" s="1">
        <v>106</v>
      </c>
      <c r="L57" s="1">
        <v>98.5</v>
      </c>
      <c r="R57" s="24" t="s">
        <v>96</v>
      </c>
      <c r="S57" s="24">
        <v>0.42979276333288319</v>
      </c>
      <c r="T57" s="24"/>
      <c r="U57" s="24"/>
      <c r="V57" s="24"/>
      <c r="W57" s="24"/>
      <c r="X57" s="24"/>
      <c r="Y57" s="24"/>
      <c r="Z57" s="24"/>
      <c r="AC57" s="24"/>
      <c r="AD57" s="24"/>
      <c r="AE57" s="24"/>
    </row>
    <row r="58" spans="1:31" ht="28.2" customHeight="1" x14ac:dyDescent="0.3">
      <c r="A58" s="24">
        <v>56</v>
      </c>
      <c r="B58" s="24">
        <v>156</v>
      </c>
      <c r="C58" s="24" t="s">
        <v>84</v>
      </c>
      <c r="D58" s="25">
        <v>14631</v>
      </c>
      <c r="E58" s="24">
        <v>100</v>
      </c>
      <c r="F58" s="24">
        <v>157.5</v>
      </c>
      <c r="G58" s="24" t="s">
        <v>87</v>
      </c>
      <c r="H58" s="24">
        <v>89.5</v>
      </c>
      <c r="I58" s="24">
        <v>132.5</v>
      </c>
      <c r="K58" s="1">
        <v>109</v>
      </c>
      <c r="L58" s="1">
        <v>104.5</v>
      </c>
      <c r="R58" s="24" t="s">
        <v>5</v>
      </c>
      <c r="S58" s="24">
        <v>3.2869286262450794</v>
      </c>
      <c r="T58" s="24"/>
      <c r="U58" s="24"/>
      <c r="V58" s="24"/>
      <c r="W58" s="24"/>
      <c r="X58" s="24"/>
      <c r="Y58" s="24"/>
      <c r="Z58" s="24"/>
    </row>
    <row r="59" spans="1:31" ht="28.2" customHeight="1" thickBot="1" x14ac:dyDescent="0.35">
      <c r="A59" s="24">
        <v>57</v>
      </c>
      <c r="B59" s="24">
        <v>157</v>
      </c>
      <c r="C59" s="24" t="s">
        <v>84</v>
      </c>
      <c r="D59" s="25">
        <v>16863</v>
      </c>
      <c r="E59" s="24">
        <v>98</v>
      </c>
      <c r="F59" s="24">
        <v>149</v>
      </c>
      <c r="G59" s="24" t="s">
        <v>83</v>
      </c>
      <c r="H59" s="24">
        <v>99</v>
      </c>
      <c r="I59" s="24">
        <v>143</v>
      </c>
      <c r="K59" s="1">
        <v>101</v>
      </c>
      <c r="L59" s="1">
        <v>92</v>
      </c>
      <c r="R59" s="26" t="s">
        <v>97</v>
      </c>
      <c r="S59" s="26">
        <v>120</v>
      </c>
      <c r="T59" s="24"/>
      <c r="U59" s="24"/>
      <c r="V59" s="24"/>
      <c r="W59" s="24"/>
      <c r="X59" s="24"/>
      <c r="Y59" s="24"/>
      <c r="Z59" s="24"/>
    </row>
    <row r="60" spans="1:31" ht="28.2" customHeight="1" x14ac:dyDescent="0.3">
      <c r="A60" s="24">
        <v>58</v>
      </c>
      <c r="B60" s="24">
        <v>158</v>
      </c>
      <c r="C60" s="24" t="s">
        <v>84</v>
      </c>
      <c r="D60" s="25">
        <v>15261</v>
      </c>
      <c r="E60" s="24">
        <v>101</v>
      </c>
      <c r="F60" s="24">
        <v>151</v>
      </c>
      <c r="G60" s="24" t="s">
        <v>83</v>
      </c>
      <c r="H60" s="24">
        <v>94.5</v>
      </c>
      <c r="I60" s="24">
        <v>137.5</v>
      </c>
      <c r="K60" s="1">
        <v>109.5</v>
      </c>
      <c r="L60" s="1">
        <v>100</v>
      </c>
      <c r="R60" s="24"/>
      <c r="S60" s="24"/>
      <c r="T60" s="24"/>
      <c r="U60" s="24"/>
      <c r="V60" s="24"/>
      <c r="W60" s="24"/>
      <c r="X60" s="24"/>
      <c r="Y60" s="24"/>
      <c r="Z60" s="24"/>
    </row>
    <row r="61" spans="1:31" ht="28.2" customHeight="1" thickBot="1" x14ac:dyDescent="0.35">
      <c r="A61" s="24">
        <v>59</v>
      </c>
      <c r="B61" s="24">
        <v>159</v>
      </c>
      <c r="C61" s="24" t="s">
        <v>82</v>
      </c>
      <c r="D61" s="25">
        <v>15396</v>
      </c>
      <c r="E61" s="24">
        <v>101</v>
      </c>
      <c r="F61" s="24">
        <v>150.5</v>
      </c>
      <c r="G61" s="24" t="s">
        <v>86</v>
      </c>
      <c r="H61" s="24">
        <v>92</v>
      </c>
      <c r="I61" s="24">
        <v>126.5</v>
      </c>
      <c r="K61" s="1">
        <v>104</v>
      </c>
      <c r="L61" s="1">
        <v>95.5</v>
      </c>
      <c r="R61" s="24" t="s">
        <v>33</v>
      </c>
      <c r="S61" s="24"/>
      <c r="T61" s="24"/>
      <c r="U61" s="24"/>
      <c r="V61" s="24"/>
      <c r="W61" s="24"/>
      <c r="X61" s="24"/>
      <c r="Y61" s="24"/>
      <c r="Z61" s="24"/>
    </row>
    <row r="62" spans="1:31" ht="28.2" customHeight="1" x14ac:dyDescent="0.3">
      <c r="A62" s="24">
        <v>60</v>
      </c>
      <c r="B62" s="24">
        <v>161</v>
      </c>
      <c r="C62" s="24" t="s">
        <v>84</v>
      </c>
      <c r="D62" s="25">
        <v>15294</v>
      </c>
      <c r="E62" s="24">
        <v>103.5</v>
      </c>
      <c r="F62" s="24">
        <v>146.5</v>
      </c>
      <c r="G62" s="24" t="s">
        <v>83</v>
      </c>
      <c r="H62" s="24">
        <v>94</v>
      </c>
      <c r="I62" s="24">
        <v>136</v>
      </c>
      <c r="K62" s="1">
        <v>103.5</v>
      </c>
      <c r="L62" s="1">
        <v>99</v>
      </c>
      <c r="R62" s="5"/>
      <c r="S62" s="5" t="s">
        <v>36</v>
      </c>
      <c r="T62" s="5" t="s">
        <v>35</v>
      </c>
      <c r="U62" s="5" t="s">
        <v>37</v>
      </c>
      <c r="V62" s="5" t="s">
        <v>38</v>
      </c>
      <c r="W62" s="5" t="s">
        <v>101</v>
      </c>
      <c r="X62" s="24"/>
      <c r="Y62" s="24"/>
      <c r="Z62" s="24"/>
    </row>
    <row r="63" spans="1:31" ht="28.2" customHeight="1" x14ac:dyDescent="0.3">
      <c r="A63" s="24">
        <v>61</v>
      </c>
      <c r="B63" s="24">
        <v>162</v>
      </c>
      <c r="C63" s="24" t="s">
        <v>84</v>
      </c>
      <c r="D63" s="25">
        <v>21615</v>
      </c>
      <c r="E63" s="24">
        <v>103</v>
      </c>
      <c r="F63" s="24">
        <v>149</v>
      </c>
      <c r="G63" s="24" t="s">
        <v>83</v>
      </c>
      <c r="H63" s="24">
        <v>101.5</v>
      </c>
      <c r="I63" s="24">
        <v>140.5</v>
      </c>
      <c r="K63" s="1">
        <v>108</v>
      </c>
      <c r="L63" s="1">
        <v>100.5</v>
      </c>
      <c r="R63" s="24" t="s">
        <v>98</v>
      </c>
      <c r="S63" s="24">
        <v>1</v>
      </c>
      <c r="T63" s="24">
        <v>979.87107430453534</v>
      </c>
      <c r="U63" s="24">
        <v>979.87107430453534</v>
      </c>
      <c r="V63" s="24">
        <v>90.696053553370504</v>
      </c>
      <c r="W63" s="37">
        <v>2.69867628895804E-16</v>
      </c>
      <c r="X63" s="24"/>
      <c r="Y63" s="24"/>
      <c r="Z63" s="24"/>
    </row>
    <row r="64" spans="1:31" ht="28.2" customHeight="1" x14ac:dyDescent="0.3">
      <c r="A64" s="24">
        <v>62</v>
      </c>
      <c r="B64" s="24">
        <v>164</v>
      </c>
      <c r="C64" s="24" t="s">
        <v>82</v>
      </c>
      <c r="D64" s="25">
        <v>16063</v>
      </c>
      <c r="E64" s="24">
        <v>98.5</v>
      </c>
      <c r="F64" s="24">
        <v>149.5</v>
      </c>
      <c r="G64" s="24" t="s">
        <v>83</v>
      </c>
      <c r="H64" s="24">
        <v>92</v>
      </c>
      <c r="I64" s="24">
        <v>134.5</v>
      </c>
      <c r="K64" s="1">
        <v>103</v>
      </c>
      <c r="L64" s="1">
        <v>100.5</v>
      </c>
      <c r="R64" s="24" t="s">
        <v>99</v>
      </c>
      <c r="S64" s="24">
        <v>118</v>
      </c>
      <c r="T64" s="24">
        <v>1274.8601756954649</v>
      </c>
      <c r="U64" s="24">
        <v>10.803899794029364</v>
      </c>
      <c r="V64" s="24"/>
      <c r="W64" s="24"/>
      <c r="X64" s="24"/>
      <c r="Y64" s="24"/>
      <c r="Z64" s="24"/>
    </row>
    <row r="65" spans="1:26" ht="28.2" customHeight="1" thickBot="1" x14ac:dyDescent="0.35">
      <c r="A65" s="24">
        <v>63</v>
      </c>
      <c r="B65" s="24">
        <v>165</v>
      </c>
      <c r="C65" s="24" t="s">
        <v>84</v>
      </c>
      <c r="D65" s="25">
        <v>18115</v>
      </c>
      <c r="E65" s="24">
        <v>104</v>
      </c>
      <c r="F65" s="24">
        <v>159</v>
      </c>
      <c r="G65" s="24" t="s">
        <v>83</v>
      </c>
      <c r="H65" s="24">
        <v>97.5</v>
      </c>
      <c r="I65" s="24">
        <v>137.5</v>
      </c>
      <c r="K65" s="1">
        <v>104</v>
      </c>
      <c r="L65" s="1">
        <v>100.5</v>
      </c>
      <c r="R65" s="26" t="s">
        <v>43</v>
      </c>
      <c r="S65" s="26">
        <v>119</v>
      </c>
      <c r="T65" s="26">
        <v>2254.7312500000003</v>
      </c>
      <c r="U65" s="26"/>
      <c r="V65" s="26"/>
      <c r="W65" s="26"/>
      <c r="X65" s="24"/>
      <c r="Y65" s="24"/>
      <c r="Z65" s="24"/>
    </row>
    <row r="66" spans="1:26" ht="28.2" customHeight="1" thickBot="1" x14ac:dyDescent="0.35">
      <c r="A66" s="24">
        <v>64</v>
      </c>
      <c r="B66" s="24">
        <v>167</v>
      </c>
      <c r="C66" s="24" t="s">
        <v>82</v>
      </c>
      <c r="D66" s="25">
        <v>21030</v>
      </c>
      <c r="E66" s="24">
        <v>98.5</v>
      </c>
      <c r="F66" s="24">
        <v>141</v>
      </c>
      <c r="G66" s="24" t="s">
        <v>86</v>
      </c>
      <c r="H66" s="24">
        <v>92</v>
      </c>
      <c r="I66" s="24">
        <v>124</v>
      </c>
      <c r="K66" s="1">
        <v>104.5</v>
      </c>
      <c r="L66" s="1">
        <v>99.5</v>
      </c>
      <c r="R66" s="24"/>
      <c r="S66" s="24"/>
      <c r="T66" s="24"/>
      <c r="U66" s="24"/>
      <c r="V66" s="24"/>
      <c r="W66" s="24"/>
      <c r="X66" s="24"/>
      <c r="Y66" s="24"/>
      <c r="Z66" s="24"/>
    </row>
    <row r="67" spans="1:26" ht="28.2" customHeight="1" x14ac:dyDescent="0.3">
      <c r="A67" s="24">
        <v>65</v>
      </c>
      <c r="B67" s="24">
        <v>169</v>
      </c>
      <c r="C67" s="24" t="s">
        <v>82</v>
      </c>
      <c r="D67" s="25">
        <v>15142</v>
      </c>
      <c r="E67" s="24">
        <v>98.5</v>
      </c>
      <c r="F67" s="24">
        <v>153</v>
      </c>
      <c r="G67" s="24" t="s">
        <v>85</v>
      </c>
      <c r="H67" s="24">
        <v>93.5</v>
      </c>
      <c r="I67" s="24">
        <v>126.5</v>
      </c>
      <c r="K67" s="1">
        <v>101</v>
      </c>
      <c r="L67" s="1">
        <v>97</v>
      </c>
      <c r="R67" s="5"/>
      <c r="S67" s="5" t="s">
        <v>102</v>
      </c>
      <c r="T67" s="5" t="s">
        <v>5</v>
      </c>
      <c r="U67" s="5" t="s">
        <v>103</v>
      </c>
      <c r="V67" s="5" t="s">
        <v>39</v>
      </c>
      <c r="W67" s="5" t="s">
        <v>104</v>
      </c>
      <c r="X67" s="5" t="s">
        <v>105</v>
      </c>
      <c r="Y67" s="5" t="s">
        <v>106</v>
      </c>
      <c r="Z67" s="5" t="s">
        <v>107</v>
      </c>
    </row>
    <row r="68" spans="1:26" ht="28.2" customHeight="1" x14ac:dyDescent="0.3">
      <c r="A68" s="24">
        <v>66</v>
      </c>
      <c r="B68" s="24">
        <v>171</v>
      </c>
      <c r="C68" s="24" t="s">
        <v>82</v>
      </c>
      <c r="D68" s="25">
        <v>15287</v>
      </c>
      <c r="E68" s="24">
        <v>100.5</v>
      </c>
      <c r="F68" s="24">
        <v>155</v>
      </c>
      <c r="G68" s="24" t="s">
        <v>87</v>
      </c>
      <c r="H68" s="24">
        <v>89.5</v>
      </c>
      <c r="I68" s="24">
        <v>130.5</v>
      </c>
      <c r="K68" s="1">
        <v>105.5</v>
      </c>
      <c r="L68" s="1">
        <v>93</v>
      </c>
      <c r="R68" s="24" t="s">
        <v>100</v>
      </c>
      <c r="S68" s="24">
        <v>38.175188647370142</v>
      </c>
      <c r="T68" s="24">
        <v>5.910138718501643</v>
      </c>
      <c r="U68" s="24">
        <v>6.4592711720730032</v>
      </c>
      <c r="V68" s="24">
        <v>2.4511247421669185E-9</v>
      </c>
      <c r="W68" s="24">
        <v>26.471504953767614</v>
      </c>
      <c r="X68" s="24">
        <v>49.87887234097267</v>
      </c>
      <c r="Y68" s="24">
        <v>26.471504953767614</v>
      </c>
      <c r="Z68" s="24">
        <v>49.87887234097267</v>
      </c>
    </row>
    <row r="69" spans="1:26" ht="28.2" customHeight="1" thickBot="1" x14ac:dyDescent="0.35">
      <c r="A69" s="24">
        <v>67</v>
      </c>
      <c r="B69" s="24">
        <v>173</v>
      </c>
      <c r="C69" s="24" t="s">
        <v>84</v>
      </c>
      <c r="D69" s="25">
        <v>14234</v>
      </c>
      <c r="E69" s="24">
        <v>100</v>
      </c>
      <c r="F69" s="24">
        <v>148.5</v>
      </c>
      <c r="G69" s="24" t="s">
        <v>83</v>
      </c>
      <c r="H69" s="24">
        <v>100.5</v>
      </c>
      <c r="I69" s="24">
        <v>139.5</v>
      </c>
      <c r="K69" s="1">
        <v>105.5</v>
      </c>
      <c r="L69" s="1">
        <v>99.5</v>
      </c>
      <c r="R69" s="26" t="s">
        <v>77</v>
      </c>
      <c r="S69" s="26">
        <v>0.55986034463340528</v>
      </c>
      <c r="T69" s="26">
        <v>5.8787570438059766E-2</v>
      </c>
      <c r="U69" s="26">
        <v>9.5234475665785485</v>
      </c>
      <c r="V69" s="38">
        <v>2.6986762889577298E-16</v>
      </c>
      <c r="W69" s="26">
        <v>0.4434449502927354</v>
      </c>
      <c r="X69" s="26">
        <v>0.67627573897407511</v>
      </c>
      <c r="Y69" s="26">
        <v>0.4434449502927354</v>
      </c>
      <c r="Z69" s="26">
        <v>0.67627573897407511</v>
      </c>
    </row>
    <row r="70" spans="1:26" ht="28.2" customHeight="1" x14ac:dyDescent="0.3">
      <c r="A70" s="24">
        <v>68</v>
      </c>
      <c r="B70" s="24">
        <v>174</v>
      </c>
      <c r="C70" s="24" t="s">
        <v>84</v>
      </c>
      <c r="D70" s="25">
        <v>17687</v>
      </c>
      <c r="E70" s="24">
        <v>98</v>
      </c>
      <c r="F70" s="24">
        <v>146</v>
      </c>
      <c r="G70" s="24" t="s">
        <v>85</v>
      </c>
      <c r="H70" s="24">
        <v>89</v>
      </c>
      <c r="I70" s="24">
        <v>128.5</v>
      </c>
      <c r="K70" s="1">
        <v>105</v>
      </c>
      <c r="L70" s="1">
        <v>100.5</v>
      </c>
      <c r="R70" s="24"/>
      <c r="S70" s="24"/>
      <c r="T70" s="24"/>
      <c r="U70" s="24"/>
      <c r="V70" s="24"/>
      <c r="W70" s="24"/>
      <c r="X70" s="24"/>
      <c r="Y70" s="24"/>
      <c r="Z70" s="24"/>
    </row>
    <row r="71" spans="1:26" ht="28.2" customHeight="1" x14ac:dyDescent="0.3">
      <c r="A71" s="24">
        <v>69</v>
      </c>
      <c r="B71" s="24">
        <v>176</v>
      </c>
      <c r="C71" s="24" t="s">
        <v>82</v>
      </c>
      <c r="D71" s="25">
        <v>17064</v>
      </c>
      <c r="E71" s="24">
        <v>96.5</v>
      </c>
      <c r="F71" s="24">
        <v>144</v>
      </c>
      <c r="G71" s="24" t="s">
        <v>87</v>
      </c>
      <c r="H71" s="24">
        <v>96</v>
      </c>
      <c r="I71" s="24">
        <v>132</v>
      </c>
      <c r="K71" s="1">
        <v>106</v>
      </c>
      <c r="L71" s="1">
        <v>95.5</v>
      </c>
      <c r="R71" s="24"/>
      <c r="S71" s="24"/>
      <c r="T71" s="24"/>
      <c r="U71" s="24"/>
      <c r="V71" s="24"/>
      <c r="W71" s="24"/>
      <c r="X71" s="24"/>
      <c r="Y71" s="24"/>
      <c r="Z71" s="24"/>
    </row>
    <row r="72" spans="1:26" ht="28.2" customHeight="1" x14ac:dyDescent="0.3">
      <c r="A72" s="24">
        <v>70</v>
      </c>
      <c r="B72" s="24">
        <v>179</v>
      </c>
      <c r="C72" s="24" t="s">
        <v>82</v>
      </c>
      <c r="D72" s="25">
        <v>16981</v>
      </c>
      <c r="E72" s="24">
        <v>99.5</v>
      </c>
      <c r="F72" s="24">
        <v>152</v>
      </c>
      <c r="G72" s="24" t="s">
        <v>83</v>
      </c>
      <c r="H72" s="24">
        <v>95</v>
      </c>
      <c r="I72" s="24">
        <v>133.5</v>
      </c>
      <c r="K72" s="1">
        <v>104.5</v>
      </c>
      <c r="L72" s="1">
        <v>98.5</v>
      </c>
      <c r="R72" s="24"/>
      <c r="S72" s="24"/>
      <c r="T72" s="24"/>
      <c r="U72" s="24"/>
      <c r="V72" s="24"/>
      <c r="W72" s="24"/>
      <c r="X72" s="24"/>
      <c r="Y72" s="24"/>
      <c r="Z72" s="24"/>
    </row>
    <row r="73" spans="1:26" ht="28.2" customHeight="1" x14ac:dyDescent="0.3">
      <c r="A73" s="24">
        <v>71</v>
      </c>
      <c r="B73" s="24">
        <v>182</v>
      </c>
      <c r="C73" s="24" t="s">
        <v>84</v>
      </c>
      <c r="D73" s="25">
        <v>17788</v>
      </c>
      <c r="E73" s="24">
        <v>99</v>
      </c>
      <c r="F73" s="24">
        <v>148.5</v>
      </c>
      <c r="G73" s="24" t="s">
        <v>83</v>
      </c>
      <c r="H73" s="24">
        <v>96</v>
      </c>
      <c r="I73" s="24">
        <v>139</v>
      </c>
      <c r="K73" s="1">
        <v>102</v>
      </c>
      <c r="L73" s="1">
        <v>99</v>
      </c>
      <c r="R73" s="24" t="s">
        <v>108</v>
      </c>
      <c r="S73" s="24"/>
      <c r="T73" s="24"/>
      <c r="U73" s="24"/>
      <c r="V73" s="24"/>
      <c r="W73" s="24" t="s">
        <v>113</v>
      </c>
      <c r="X73" s="24"/>
      <c r="Y73" s="24"/>
      <c r="Z73" s="24"/>
    </row>
    <row r="74" spans="1:26" ht="28.2" customHeight="1" thickBot="1" x14ac:dyDescent="0.35">
      <c r="A74" s="24">
        <v>72</v>
      </c>
      <c r="B74" s="24">
        <v>184</v>
      </c>
      <c r="C74" s="24" t="s">
        <v>82</v>
      </c>
      <c r="D74" s="25">
        <v>16766</v>
      </c>
      <c r="E74" s="24">
        <v>104</v>
      </c>
      <c r="F74" s="24">
        <v>148</v>
      </c>
      <c r="G74" s="24" t="s">
        <v>87</v>
      </c>
      <c r="H74" s="24">
        <v>92</v>
      </c>
      <c r="I74" s="24">
        <v>123</v>
      </c>
      <c r="K74" s="1">
        <v>102.5</v>
      </c>
      <c r="L74" s="1">
        <v>95.5</v>
      </c>
      <c r="R74" s="24"/>
      <c r="S74" s="24"/>
      <c r="T74" s="24"/>
      <c r="U74" s="24"/>
      <c r="V74" s="24"/>
      <c r="W74" s="24"/>
      <c r="X74" s="24"/>
      <c r="Y74" s="24"/>
      <c r="Z74" s="24"/>
    </row>
    <row r="75" spans="1:26" ht="28.2" customHeight="1" x14ac:dyDescent="0.3">
      <c r="A75" s="24">
        <v>73</v>
      </c>
      <c r="B75" s="24">
        <v>185</v>
      </c>
      <c r="C75" s="24" t="s">
        <v>84</v>
      </c>
      <c r="D75" s="25">
        <v>15819</v>
      </c>
      <c r="E75" s="24">
        <v>101</v>
      </c>
      <c r="F75" s="24">
        <v>155</v>
      </c>
      <c r="G75" s="24" t="s">
        <v>86</v>
      </c>
      <c r="H75" s="24">
        <v>93</v>
      </c>
      <c r="I75" s="24">
        <v>132</v>
      </c>
      <c r="K75" s="1">
        <v>98</v>
      </c>
      <c r="L75" s="1">
        <v>91.5</v>
      </c>
      <c r="R75" s="5" t="s">
        <v>109</v>
      </c>
      <c r="S75" s="5" t="s">
        <v>110</v>
      </c>
      <c r="T75" s="5" t="s">
        <v>111</v>
      </c>
      <c r="U75" s="5" t="s">
        <v>112</v>
      </c>
      <c r="V75" s="24"/>
      <c r="W75" s="5" t="s">
        <v>114</v>
      </c>
      <c r="X75" s="5" t="s">
        <v>80</v>
      </c>
      <c r="Y75" s="24"/>
      <c r="Z75" s="24"/>
    </row>
    <row r="76" spans="1:26" ht="28.2" customHeight="1" x14ac:dyDescent="0.3">
      <c r="A76" s="24">
        <v>74</v>
      </c>
      <c r="B76" s="24">
        <v>186</v>
      </c>
      <c r="C76" s="24" t="s">
        <v>82</v>
      </c>
      <c r="D76" s="25">
        <v>17497</v>
      </c>
      <c r="E76" s="24">
        <v>100.5</v>
      </c>
      <c r="F76" s="24">
        <v>145</v>
      </c>
      <c r="G76" s="24" t="s">
        <v>87</v>
      </c>
      <c r="H76" s="24">
        <v>89</v>
      </c>
      <c r="I76" s="24">
        <v>129.5</v>
      </c>
      <c r="K76" s="1">
        <v>109.5</v>
      </c>
      <c r="L76" s="1">
        <v>102</v>
      </c>
      <c r="R76" s="24">
        <v>1</v>
      </c>
      <c r="S76" s="24">
        <v>101.43940759094494</v>
      </c>
      <c r="T76" s="24">
        <v>6.5605924090550616</v>
      </c>
      <c r="U76" s="24">
        <v>2.004403998502541</v>
      </c>
      <c r="V76" s="24"/>
      <c r="W76" s="24">
        <v>0.41666666666666669</v>
      </c>
      <c r="X76" s="24">
        <v>83</v>
      </c>
      <c r="Y76" s="24"/>
      <c r="Z76" s="24"/>
    </row>
    <row r="77" spans="1:26" ht="28.2" customHeight="1" x14ac:dyDescent="0.3">
      <c r="A77" s="24">
        <v>75</v>
      </c>
      <c r="B77" s="24">
        <v>190</v>
      </c>
      <c r="C77" s="24" t="s">
        <v>82</v>
      </c>
      <c r="D77" s="25">
        <v>17377</v>
      </c>
      <c r="E77" s="24">
        <v>100</v>
      </c>
      <c r="F77" s="24">
        <v>150</v>
      </c>
      <c r="G77" s="24" t="s">
        <v>83</v>
      </c>
      <c r="H77" s="24">
        <v>95</v>
      </c>
      <c r="I77" s="24">
        <v>134.5</v>
      </c>
      <c r="K77" s="1">
        <v>105</v>
      </c>
      <c r="L77" s="1">
        <v>99</v>
      </c>
      <c r="R77" s="24">
        <v>2</v>
      </c>
      <c r="S77" s="24">
        <v>101.71933776326165</v>
      </c>
      <c r="T77" s="24">
        <v>-5.7193377632616489</v>
      </c>
      <c r="U77" s="24">
        <v>-1.747382365294569</v>
      </c>
      <c r="V77" s="24"/>
      <c r="W77" s="24">
        <v>1.25</v>
      </c>
      <c r="X77" s="24">
        <v>84</v>
      </c>
      <c r="Y77" s="24"/>
      <c r="Z77" s="24"/>
    </row>
    <row r="78" spans="1:26" ht="28.2" customHeight="1" x14ac:dyDescent="0.3">
      <c r="A78" s="24">
        <v>76</v>
      </c>
      <c r="B78" s="24">
        <v>191</v>
      </c>
      <c r="C78" s="24" t="s">
        <v>84</v>
      </c>
      <c r="D78" s="25">
        <v>17042</v>
      </c>
      <c r="E78" s="24">
        <v>99</v>
      </c>
      <c r="F78" s="24">
        <v>145</v>
      </c>
      <c r="G78" s="24" t="s">
        <v>86</v>
      </c>
      <c r="H78" s="24">
        <v>93</v>
      </c>
      <c r="I78" s="24">
        <v>131</v>
      </c>
      <c r="K78" s="1">
        <v>106.5</v>
      </c>
      <c r="L78" s="1">
        <v>100.5</v>
      </c>
      <c r="R78" s="24">
        <v>3</v>
      </c>
      <c r="S78" s="24">
        <v>95.280943799977479</v>
      </c>
      <c r="T78" s="24">
        <v>-0.78094379997747865</v>
      </c>
      <c r="U78" s="24">
        <v>-0.23859535506582169</v>
      </c>
      <c r="V78" s="24"/>
      <c r="W78" s="24">
        <v>2.0833333333333335</v>
      </c>
      <c r="X78" s="24">
        <v>85.5</v>
      </c>
      <c r="Y78" s="24"/>
      <c r="Z78" s="24"/>
    </row>
    <row r="79" spans="1:26" ht="28.2" customHeight="1" x14ac:dyDescent="0.3">
      <c r="A79" s="24">
        <v>77</v>
      </c>
      <c r="B79" s="24">
        <v>193</v>
      </c>
      <c r="C79" s="24" t="s">
        <v>84</v>
      </c>
      <c r="D79" s="25">
        <v>15010</v>
      </c>
      <c r="E79" s="24">
        <v>104</v>
      </c>
      <c r="F79" s="24">
        <v>150.5</v>
      </c>
      <c r="G79" s="24" t="s">
        <v>83</v>
      </c>
      <c r="H79" s="24">
        <v>95</v>
      </c>
      <c r="I79" s="24">
        <v>139.5</v>
      </c>
      <c r="K79" s="1">
        <v>102.5</v>
      </c>
      <c r="L79" s="1">
        <v>96.5</v>
      </c>
      <c r="R79" s="24">
        <v>4</v>
      </c>
      <c r="S79" s="24">
        <v>98.920036040094615</v>
      </c>
      <c r="T79" s="24">
        <v>-3.4200360400946153</v>
      </c>
      <c r="U79" s="24">
        <v>-1.0448955652734728</v>
      </c>
      <c r="V79" s="24"/>
      <c r="W79" s="24">
        <v>2.9166666666666665</v>
      </c>
      <c r="X79" s="24">
        <v>86.5</v>
      </c>
      <c r="Y79" s="24"/>
      <c r="Z79" s="24"/>
    </row>
    <row r="80" spans="1:26" ht="28.2" customHeight="1" x14ac:dyDescent="0.3">
      <c r="A80" s="24">
        <v>78</v>
      </c>
      <c r="B80" s="24">
        <v>197</v>
      </c>
      <c r="C80" s="24" t="s">
        <v>84</v>
      </c>
      <c r="D80" s="25">
        <v>19203</v>
      </c>
      <c r="E80" s="24">
        <v>103</v>
      </c>
      <c r="F80" s="24">
        <v>159</v>
      </c>
      <c r="G80" s="24" t="s">
        <v>85</v>
      </c>
      <c r="H80" s="24">
        <v>93.5</v>
      </c>
      <c r="I80" s="24">
        <v>134.5</v>
      </c>
      <c r="K80" s="1">
        <v>105.5</v>
      </c>
      <c r="L80" s="1">
        <v>94</v>
      </c>
      <c r="R80" s="24">
        <v>5</v>
      </c>
      <c r="S80" s="24">
        <v>97.520385178511106</v>
      </c>
      <c r="T80" s="24">
        <v>0.97961482148889445</v>
      </c>
      <c r="U80" s="24">
        <v>0.29929368306352494</v>
      </c>
      <c r="V80" s="24"/>
      <c r="W80" s="24">
        <v>3.75</v>
      </c>
      <c r="X80" s="24">
        <v>87.5</v>
      </c>
      <c r="Y80" s="24"/>
      <c r="Z80" s="24"/>
    </row>
    <row r="81" spans="1:26" ht="28.2" customHeight="1" x14ac:dyDescent="0.3">
      <c r="A81" s="24">
        <v>79</v>
      </c>
      <c r="B81" s="24">
        <v>198</v>
      </c>
      <c r="C81" s="24" t="s">
        <v>84</v>
      </c>
      <c r="D81" s="25">
        <v>14910</v>
      </c>
      <c r="E81" s="24">
        <v>102.5</v>
      </c>
      <c r="F81" s="24">
        <v>149</v>
      </c>
      <c r="G81" s="24" t="s">
        <v>87</v>
      </c>
      <c r="H81" s="24">
        <v>94</v>
      </c>
      <c r="I81" s="24">
        <v>131.5</v>
      </c>
      <c r="K81" s="1">
        <v>95.5</v>
      </c>
      <c r="L81" s="1">
        <v>86.5</v>
      </c>
      <c r="R81" s="24">
        <v>6</v>
      </c>
      <c r="S81" s="24">
        <v>99.199966212411312</v>
      </c>
      <c r="T81" s="24">
        <v>5.3000337875886885</v>
      </c>
      <c r="U81" s="24">
        <v>1.6192758601157256</v>
      </c>
      <c r="V81" s="24"/>
      <c r="W81" s="24">
        <v>4.5833333333333339</v>
      </c>
      <c r="X81" s="24">
        <v>87.5</v>
      </c>
      <c r="Y81" s="24"/>
      <c r="Z81" s="24"/>
    </row>
    <row r="82" spans="1:26" ht="28.2" customHeight="1" x14ac:dyDescent="0.3">
      <c r="A82" s="24">
        <v>80</v>
      </c>
      <c r="B82" s="24">
        <v>201</v>
      </c>
      <c r="C82" s="24" t="s">
        <v>84</v>
      </c>
      <c r="D82" s="25">
        <v>19665</v>
      </c>
      <c r="E82" s="24">
        <v>95.5</v>
      </c>
      <c r="F82" s="24">
        <v>145.5</v>
      </c>
      <c r="G82" s="24" t="s">
        <v>83</v>
      </c>
      <c r="H82" s="24">
        <v>93</v>
      </c>
      <c r="I82" s="24">
        <v>138.5</v>
      </c>
      <c r="K82" s="1">
        <v>102.5</v>
      </c>
      <c r="L82" s="1">
        <v>96</v>
      </c>
      <c r="R82" s="24">
        <v>7</v>
      </c>
      <c r="S82" s="24">
        <v>94.721083455344072</v>
      </c>
      <c r="T82" s="24">
        <v>-2.7210834553440719</v>
      </c>
      <c r="U82" s="24">
        <v>-0.83135031382575153</v>
      </c>
      <c r="V82" s="24"/>
      <c r="W82" s="24">
        <v>5.416666666666667</v>
      </c>
      <c r="X82" s="24">
        <v>88</v>
      </c>
      <c r="Y82" s="24"/>
      <c r="Z82" s="24"/>
    </row>
    <row r="83" spans="1:26" ht="28.2" customHeight="1" x14ac:dyDescent="0.3">
      <c r="A83" s="24">
        <v>81</v>
      </c>
      <c r="B83" s="24">
        <v>203</v>
      </c>
      <c r="C83" s="24" t="s">
        <v>84</v>
      </c>
      <c r="D83" s="25">
        <v>17205</v>
      </c>
      <c r="E83" s="24">
        <v>97.5</v>
      </c>
      <c r="F83" s="24">
        <v>151</v>
      </c>
      <c r="G83" s="24" t="s">
        <v>87</v>
      </c>
      <c r="H83" s="24">
        <v>92</v>
      </c>
      <c r="I83" s="24">
        <v>133</v>
      </c>
      <c r="K83" s="1">
        <v>102.5</v>
      </c>
      <c r="L83" s="1">
        <v>91</v>
      </c>
      <c r="R83" s="24">
        <v>8</v>
      </c>
      <c r="S83" s="24">
        <v>99.479896384728022</v>
      </c>
      <c r="T83" s="24">
        <v>0.52010361527197801</v>
      </c>
      <c r="U83" s="24">
        <v>0.15890299245658115</v>
      </c>
      <c r="V83" s="24"/>
      <c r="W83" s="24">
        <v>6.2500000000000009</v>
      </c>
      <c r="X83" s="24">
        <v>88.5</v>
      </c>
      <c r="Y83" s="24"/>
      <c r="Z83" s="24"/>
    </row>
    <row r="84" spans="1:26" ht="28.2" customHeight="1" x14ac:dyDescent="0.3">
      <c r="A84" s="24">
        <v>82</v>
      </c>
      <c r="B84" s="24">
        <v>205</v>
      </c>
      <c r="C84" s="24" t="s">
        <v>82</v>
      </c>
      <c r="D84" s="25">
        <v>15978</v>
      </c>
      <c r="E84" s="24">
        <v>97.5</v>
      </c>
      <c r="F84" s="24">
        <v>149.5</v>
      </c>
      <c r="G84" s="24" t="s">
        <v>83</v>
      </c>
      <c r="H84" s="24">
        <v>99.5</v>
      </c>
      <c r="I84" s="24">
        <v>131</v>
      </c>
      <c r="K84" s="1">
        <v>106</v>
      </c>
      <c r="L84" s="1">
        <v>93.5</v>
      </c>
      <c r="R84" s="24">
        <v>9</v>
      </c>
      <c r="S84" s="24">
        <v>96.400664489244292</v>
      </c>
      <c r="T84" s="24">
        <v>-0.9006644892442921</v>
      </c>
      <c r="U84" s="24">
        <v>-0.27517263548621046</v>
      </c>
      <c r="V84" s="24"/>
      <c r="W84" s="24">
        <v>7.0833333333333339</v>
      </c>
      <c r="X84" s="24">
        <v>88.5</v>
      </c>
      <c r="Y84" s="24"/>
      <c r="Z84" s="24"/>
    </row>
    <row r="85" spans="1:26" ht="28.2" customHeight="1" x14ac:dyDescent="0.3">
      <c r="A85" s="24">
        <v>83</v>
      </c>
      <c r="B85" s="24">
        <v>208</v>
      </c>
      <c r="C85" s="24" t="s">
        <v>84</v>
      </c>
      <c r="D85" s="25">
        <v>19422</v>
      </c>
      <c r="E85" s="24">
        <v>96</v>
      </c>
      <c r="F85" s="24">
        <v>150</v>
      </c>
      <c r="G85" s="24" t="s">
        <v>87</v>
      </c>
      <c r="H85" s="24">
        <v>93.5</v>
      </c>
      <c r="I85" s="24">
        <v>134.5</v>
      </c>
      <c r="K85" s="1">
        <v>97.5</v>
      </c>
      <c r="L85" s="1">
        <v>88.5</v>
      </c>
      <c r="R85" s="24">
        <v>10</v>
      </c>
      <c r="S85" s="24">
        <v>96.120734316927582</v>
      </c>
      <c r="T85" s="24">
        <v>2.8792656830724184</v>
      </c>
      <c r="U85" s="24">
        <v>0.87967843268787183</v>
      </c>
      <c r="V85" s="24"/>
      <c r="W85" s="24">
        <v>7.916666666666667</v>
      </c>
      <c r="X85" s="24">
        <v>88.5</v>
      </c>
      <c r="Y85" s="24"/>
      <c r="Z85" s="24"/>
    </row>
    <row r="86" spans="1:26" ht="28.2" customHeight="1" x14ac:dyDescent="0.3">
      <c r="A86" s="24">
        <v>84</v>
      </c>
      <c r="B86" s="24">
        <v>210</v>
      </c>
      <c r="C86" s="24" t="s">
        <v>82</v>
      </c>
      <c r="D86" s="25">
        <v>16657</v>
      </c>
      <c r="E86" s="24">
        <v>104.5</v>
      </c>
      <c r="F86" s="24">
        <v>153.5</v>
      </c>
      <c r="G86" s="24" t="s">
        <v>83</v>
      </c>
      <c r="H86" s="24">
        <v>101</v>
      </c>
      <c r="I86" s="24">
        <v>132</v>
      </c>
      <c r="K86" s="1">
        <v>102</v>
      </c>
      <c r="L86" s="1">
        <v>91.5</v>
      </c>
      <c r="R86" s="24">
        <v>11</v>
      </c>
      <c r="S86" s="24">
        <v>98.640105867777919</v>
      </c>
      <c r="T86" s="24">
        <v>1.859894132222081</v>
      </c>
      <c r="U86" s="24">
        <v>0.5682382021281982</v>
      </c>
      <c r="V86" s="24"/>
      <c r="W86" s="24">
        <v>8.75</v>
      </c>
      <c r="X86" s="24">
        <v>89</v>
      </c>
      <c r="Y86" s="24"/>
      <c r="Z86" s="24"/>
    </row>
    <row r="87" spans="1:26" ht="28.2" customHeight="1" x14ac:dyDescent="0.3">
      <c r="A87" s="24">
        <v>85</v>
      </c>
      <c r="B87" s="24">
        <v>214</v>
      </c>
      <c r="C87" s="24" t="s">
        <v>84</v>
      </c>
      <c r="D87" s="25">
        <v>16061</v>
      </c>
      <c r="E87" s="24">
        <v>95.5</v>
      </c>
      <c r="F87" s="24">
        <v>147.5</v>
      </c>
      <c r="G87" s="24" t="s">
        <v>83</v>
      </c>
      <c r="H87" s="24">
        <v>97.5</v>
      </c>
      <c r="I87" s="24">
        <v>127</v>
      </c>
      <c r="K87" s="1">
        <v>103</v>
      </c>
      <c r="L87" s="1">
        <v>94.5</v>
      </c>
      <c r="R87" s="24">
        <v>12</v>
      </c>
      <c r="S87" s="24">
        <v>95.840804144610885</v>
      </c>
      <c r="T87" s="24">
        <v>4.6591958553891146</v>
      </c>
      <c r="U87" s="24">
        <v>1.4234859018918256</v>
      </c>
      <c r="V87" s="24"/>
      <c r="W87" s="24">
        <v>9.5833333333333339</v>
      </c>
      <c r="X87" s="24">
        <v>89</v>
      </c>
      <c r="Y87" s="24"/>
      <c r="Z87" s="24"/>
    </row>
    <row r="88" spans="1:26" ht="28.2" customHeight="1" x14ac:dyDescent="0.3">
      <c r="A88" s="24">
        <v>86</v>
      </c>
      <c r="B88" s="24">
        <v>215</v>
      </c>
      <c r="C88" s="24" t="s">
        <v>82</v>
      </c>
      <c r="D88" s="25">
        <v>26141</v>
      </c>
      <c r="E88" s="24">
        <v>92.5</v>
      </c>
      <c r="F88" s="24">
        <v>147.5</v>
      </c>
      <c r="G88" s="24" t="s">
        <v>83</v>
      </c>
      <c r="H88" s="24">
        <v>93.5</v>
      </c>
      <c r="I88" s="24">
        <v>133.5</v>
      </c>
      <c r="K88" s="1">
        <v>104.5</v>
      </c>
      <c r="L88" s="1">
        <v>96</v>
      </c>
      <c r="R88" s="24">
        <v>13</v>
      </c>
      <c r="S88" s="24">
        <v>96.400664489244292</v>
      </c>
      <c r="T88" s="24">
        <v>4.0993355107557079</v>
      </c>
      <c r="U88" s="24">
        <v>1.2524363619391001</v>
      </c>
      <c r="V88" s="24"/>
      <c r="W88" s="24">
        <v>10.416666666666666</v>
      </c>
      <c r="X88" s="24">
        <v>89</v>
      </c>
      <c r="Y88" s="24"/>
      <c r="Z88" s="24"/>
    </row>
    <row r="89" spans="1:26" ht="28.2" customHeight="1" x14ac:dyDescent="0.3">
      <c r="A89" s="24">
        <v>87</v>
      </c>
      <c r="B89" s="24">
        <v>216</v>
      </c>
      <c r="C89" s="24" t="s">
        <v>82</v>
      </c>
      <c r="D89" s="25">
        <v>16125</v>
      </c>
      <c r="E89" s="24">
        <v>102.5</v>
      </c>
      <c r="F89" s="24">
        <v>150</v>
      </c>
      <c r="G89" s="24" t="s">
        <v>83</v>
      </c>
      <c r="H89" s="24">
        <v>93.5</v>
      </c>
      <c r="I89" s="24">
        <v>139.5</v>
      </c>
      <c r="K89" s="1">
        <v>112</v>
      </c>
      <c r="L89" s="1">
        <v>97</v>
      </c>
      <c r="R89" s="24">
        <v>14</v>
      </c>
      <c r="S89" s="24">
        <v>96.680594661561003</v>
      </c>
      <c r="T89" s="24">
        <v>2.8194053384389974</v>
      </c>
      <c r="U89" s="24">
        <v>0.861389792477673</v>
      </c>
      <c r="V89" s="24"/>
      <c r="W89" s="24">
        <v>11.25</v>
      </c>
      <c r="X89" s="24">
        <v>89</v>
      </c>
      <c r="Y89" s="24"/>
      <c r="Z89" s="24"/>
    </row>
    <row r="90" spans="1:26" ht="28.2" customHeight="1" x14ac:dyDescent="0.3">
      <c r="A90" s="24">
        <v>88</v>
      </c>
      <c r="B90" s="24">
        <v>218</v>
      </c>
      <c r="C90" s="24" t="s">
        <v>84</v>
      </c>
      <c r="D90" s="25">
        <v>16097</v>
      </c>
      <c r="E90" s="24">
        <v>102</v>
      </c>
      <c r="F90" s="24">
        <v>152</v>
      </c>
      <c r="G90" s="24" t="s">
        <v>87</v>
      </c>
      <c r="H90" s="24">
        <v>93.5</v>
      </c>
      <c r="I90" s="24">
        <v>132</v>
      </c>
      <c r="K90" s="1">
        <v>104</v>
      </c>
      <c r="L90" s="1">
        <v>101.5</v>
      </c>
      <c r="R90" s="24">
        <v>15</v>
      </c>
      <c r="S90" s="24">
        <v>94.721083455344072</v>
      </c>
      <c r="T90" s="24">
        <v>2.2789165446559281</v>
      </c>
      <c r="U90" s="24">
        <v>0.696258683599559</v>
      </c>
      <c r="V90" s="24"/>
      <c r="W90" s="24">
        <v>12.083333333333334</v>
      </c>
      <c r="X90" s="24">
        <v>89</v>
      </c>
      <c r="Y90" s="24"/>
      <c r="Z90" s="24"/>
    </row>
    <row r="91" spans="1:26" ht="28.2" customHeight="1" x14ac:dyDescent="0.3">
      <c r="A91" s="24">
        <v>89</v>
      </c>
      <c r="B91" s="24">
        <v>219</v>
      </c>
      <c r="C91" s="24" t="s">
        <v>82</v>
      </c>
      <c r="D91" s="25">
        <v>15728</v>
      </c>
      <c r="E91" s="24">
        <v>91</v>
      </c>
      <c r="F91" s="24">
        <v>143</v>
      </c>
      <c r="G91" s="24" t="s">
        <v>83</v>
      </c>
      <c r="H91" s="24">
        <v>90.5</v>
      </c>
      <c r="I91" s="24">
        <v>128.5</v>
      </c>
      <c r="K91" s="1">
        <v>104</v>
      </c>
      <c r="L91" s="1">
        <v>93.5</v>
      </c>
      <c r="R91" s="24">
        <v>16</v>
      </c>
      <c r="S91" s="24">
        <v>97.240455006194395</v>
      </c>
      <c r="T91" s="24">
        <v>-4.2404550061943951</v>
      </c>
      <c r="U91" s="24">
        <v>-1.2955514441279516</v>
      </c>
      <c r="V91" s="24"/>
      <c r="W91" s="24">
        <v>12.916666666666666</v>
      </c>
      <c r="X91" s="24">
        <v>89.5</v>
      </c>
      <c r="Y91" s="24"/>
      <c r="Z91" s="24"/>
    </row>
    <row r="92" spans="1:26" ht="28.2" customHeight="1" x14ac:dyDescent="0.3">
      <c r="A92" s="24">
        <v>90</v>
      </c>
      <c r="B92" s="24">
        <v>223</v>
      </c>
      <c r="C92" s="24" t="s">
        <v>84</v>
      </c>
      <c r="D92" s="25">
        <v>17449</v>
      </c>
      <c r="E92" s="24">
        <v>95.5</v>
      </c>
      <c r="F92" s="24">
        <v>145.5</v>
      </c>
      <c r="G92" s="24" t="s">
        <v>86</v>
      </c>
      <c r="H92" s="24">
        <v>92</v>
      </c>
      <c r="I92" s="24">
        <v>131</v>
      </c>
      <c r="K92" s="1">
        <v>100.5</v>
      </c>
      <c r="L92" s="1">
        <v>97.5</v>
      </c>
      <c r="R92" s="24">
        <v>17</v>
      </c>
      <c r="S92" s="24">
        <v>97.240455006194395</v>
      </c>
      <c r="T92" s="24">
        <v>2.2595449938056049</v>
      </c>
      <c r="U92" s="24">
        <v>0.6903402525249519</v>
      </c>
      <c r="V92" s="24"/>
      <c r="W92" s="24">
        <v>13.75</v>
      </c>
      <c r="X92" s="24">
        <v>89.5</v>
      </c>
      <c r="Y92" s="24"/>
      <c r="Z92" s="24"/>
    </row>
    <row r="93" spans="1:26" ht="28.2" customHeight="1" x14ac:dyDescent="0.3">
      <c r="A93" s="24">
        <v>91</v>
      </c>
      <c r="B93" s="24">
        <v>224</v>
      </c>
      <c r="C93" s="24" t="s">
        <v>84</v>
      </c>
      <c r="D93" s="25">
        <v>17586</v>
      </c>
      <c r="E93" s="24">
        <v>98.5</v>
      </c>
      <c r="F93" s="24">
        <v>148.5</v>
      </c>
      <c r="G93" s="24" t="s">
        <v>83</v>
      </c>
      <c r="H93" s="24">
        <v>89.5</v>
      </c>
      <c r="I93" s="24">
        <v>130</v>
      </c>
      <c r="K93" s="1">
        <v>103</v>
      </c>
      <c r="L93" s="1">
        <v>99.5</v>
      </c>
      <c r="R93" s="24">
        <v>18</v>
      </c>
      <c r="S93" s="24">
        <v>96.960524833877699</v>
      </c>
      <c r="T93" s="24">
        <v>3.5394751661223012</v>
      </c>
      <c r="U93" s="24">
        <v>1.0813868219863745</v>
      </c>
      <c r="V93" s="24"/>
      <c r="W93" s="24">
        <v>14.583333333333334</v>
      </c>
      <c r="X93" s="24">
        <v>89.5</v>
      </c>
      <c r="Y93" s="24"/>
      <c r="Z93" s="24"/>
    </row>
    <row r="94" spans="1:26" ht="28.2" customHeight="1" x14ac:dyDescent="0.3">
      <c r="A94" s="24">
        <v>92</v>
      </c>
      <c r="B94" s="24">
        <v>226</v>
      </c>
      <c r="C94" s="24" t="s">
        <v>82</v>
      </c>
      <c r="D94" s="25">
        <v>14001</v>
      </c>
      <c r="E94" s="24">
        <v>100</v>
      </c>
      <c r="F94" s="24">
        <v>151.5</v>
      </c>
      <c r="G94" s="24" t="s">
        <v>85</v>
      </c>
      <c r="H94" s="24">
        <v>87.5</v>
      </c>
      <c r="I94" s="24">
        <v>120</v>
      </c>
      <c r="K94" s="1">
        <v>101.5</v>
      </c>
      <c r="L94" s="1">
        <v>99.5</v>
      </c>
      <c r="R94" s="24">
        <v>19</v>
      </c>
      <c r="S94" s="24">
        <v>97.520385178511106</v>
      </c>
      <c r="T94" s="24">
        <v>-2.0203851785111056</v>
      </c>
      <c r="U94" s="24">
        <v>-0.61727171539166137</v>
      </c>
      <c r="V94" s="24"/>
      <c r="W94" s="24">
        <v>15.416666666666666</v>
      </c>
      <c r="X94" s="24">
        <v>89.5</v>
      </c>
      <c r="Y94" s="24"/>
      <c r="Z94" s="24"/>
    </row>
    <row r="95" spans="1:26" ht="28.2" customHeight="1" x14ac:dyDescent="0.3">
      <c r="A95" s="24">
        <v>93</v>
      </c>
      <c r="B95" s="24">
        <v>230</v>
      </c>
      <c r="C95" s="24" t="s">
        <v>84</v>
      </c>
      <c r="D95" s="25">
        <v>18164</v>
      </c>
      <c r="E95" s="24">
        <v>91.5</v>
      </c>
      <c r="F95" s="24">
        <v>142</v>
      </c>
      <c r="G95" s="24" t="s">
        <v>83</v>
      </c>
      <c r="H95" s="24">
        <v>87.5</v>
      </c>
      <c r="I95" s="24">
        <v>125</v>
      </c>
      <c r="K95" s="1">
        <v>108.5</v>
      </c>
      <c r="L95" s="1">
        <v>99</v>
      </c>
      <c r="R95" s="24">
        <v>20</v>
      </c>
      <c r="S95" s="24">
        <v>96.680594661561003</v>
      </c>
      <c r="T95" s="24">
        <v>1.8194053384389974</v>
      </c>
      <c r="U95" s="24">
        <v>0.55586799299261092</v>
      </c>
      <c r="V95" s="24"/>
      <c r="W95" s="24">
        <v>16.25</v>
      </c>
      <c r="X95" s="24">
        <v>90</v>
      </c>
      <c r="Y95" s="24"/>
      <c r="Z95" s="24"/>
    </row>
    <row r="96" spans="1:26" ht="28.2" customHeight="1" x14ac:dyDescent="0.3">
      <c r="A96" s="24">
        <v>94</v>
      </c>
      <c r="B96" s="24">
        <v>232</v>
      </c>
      <c r="C96" s="24" t="s">
        <v>84</v>
      </c>
      <c r="D96" s="25">
        <v>13796</v>
      </c>
      <c r="E96" s="24">
        <v>96.5</v>
      </c>
      <c r="F96" s="24">
        <v>149</v>
      </c>
      <c r="G96" s="24" t="s">
        <v>85</v>
      </c>
      <c r="H96" s="24">
        <v>88.5</v>
      </c>
      <c r="I96" s="24">
        <v>130.5</v>
      </c>
      <c r="K96" s="1">
        <v>100.5</v>
      </c>
      <c r="L96" s="1">
        <v>92</v>
      </c>
      <c r="R96" s="24">
        <v>21</v>
      </c>
      <c r="S96" s="24">
        <v>95.280943799977479</v>
      </c>
      <c r="T96" s="24">
        <v>3.7190562000225214</v>
      </c>
      <c r="U96" s="24">
        <v>1.1362527426169577</v>
      </c>
      <c r="V96" s="24"/>
      <c r="W96" s="24">
        <v>17.083333333333336</v>
      </c>
      <c r="X96" s="24">
        <v>90</v>
      </c>
      <c r="Y96" s="24"/>
      <c r="Z96" s="24"/>
    </row>
    <row r="97" spans="1:26" ht="28.2" customHeight="1" x14ac:dyDescent="0.3">
      <c r="A97" s="24">
        <v>95</v>
      </c>
      <c r="B97" s="24">
        <v>233</v>
      </c>
      <c r="C97" s="24" t="s">
        <v>82</v>
      </c>
      <c r="D97" s="25">
        <v>15543</v>
      </c>
      <c r="E97" s="24">
        <v>102</v>
      </c>
      <c r="F97" s="24">
        <v>153</v>
      </c>
      <c r="G97" s="24" t="s">
        <v>83</v>
      </c>
      <c r="H97" s="24">
        <v>95.5</v>
      </c>
      <c r="I97" s="24">
        <v>136</v>
      </c>
      <c r="K97" s="1">
        <v>101</v>
      </c>
      <c r="L97" s="1">
        <v>97</v>
      </c>
      <c r="R97" s="24">
        <v>22</v>
      </c>
      <c r="S97" s="24">
        <v>95.560873972294189</v>
      </c>
      <c r="T97" s="24">
        <v>-6.0873972294189116E-2</v>
      </c>
      <c r="U97" s="24">
        <v>-1.8598325557124474E-2</v>
      </c>
      <c r="V97" s="24"/>
      <c r="W97" s="24">
        <v>17.916666666666668</v>
      </c>
      <c r="X97" s="24">
        <v>90.5</v>
      </c>
      <c r="Y97" s="24"/>
      <c r="Z97" s="24"/>
    </row>
    <row r="98" spans="1:26" ht="28.2" customHeight="1" x14ac:dyDescent="0.3">
      <c r="A98" s="24">
        <v>96</v>
      </c>
      <c r="B98" s="24">
        <v>235</v>
      </c>
      <c r="C98" s="24" t="s">
        <v>82</v>
      </c>
      <c r="D98" s="25">
        <v>18064</v>
      </c>
      <c r="E98" s="24">
        <v>96</v>
      </c>
      <c r="F98" s="24">
        <v>146.5</v>
      </c>
      <c r="G98" s="24" t="s">
        <v>83</v>
      </c>
      <c r="H98" s="24">
        <v>96.5</v>
      </c>
      <c r="I98" s="24">
        <v>132.5</v>
      </c>
      <c r="K98" s="1">
        <v>111.5</v>
      </c>
      <c r="L98" s="1">
        <v>101</v>
      </c>
      <c r="R98" s="24">
        <v>23</v>
      </c>
      <c r="S98" s="24">
        <v>93.041502421443852</v>
      </c>
      <c r="T98" s="24">
        <v>-1.5415024214438517</v>
      </c>
      <c r="U98" s="24">
        <v>-0.47096259371010618</v>
      </c>
      <c r="V98" s="24"/>
      <c r="W98" s="24">
        <v>18.750000000000004</v>
      </c>
      <c r="X98" s="24">
        <v>90.5</v>
      </c>
      <c r="Y98" s="24"/>
      <c r="Z98" s="24"/>
    </row>
    <row r="99" spans="1:26" ht="28.2" customHeight="1" x14ac:dyDescent="0.3">
      <c r="A99" s="24">
        <v>97</v>
      </c>
      <c r="B99" s="24">
        <v>237</v>
      </c>
      <c r="C99" s="24" t="s">
        <v>84</v>
      </c>
      <c r="D99" s="25">
        <v>15415</v>
      </c>
      <c r="E99" s="24">
        <v>96.5</v>
      </c>
      <c r="F99" s="24">
        <v>151.5</v>
      </c>
      <c r="G99" s="24" t="s">
        <v>85</v>
      </c>
      <c r="H99" s="24">
        <v>92.5</v>
      </c>
      <c r="I99" s="24">
        <v>124</v>
      </c>
      <c r="K99" s="1">
        <v>95</v>
      </c>
      <c r="L99" s="1">
        <v>89.5</v>
      </c>
      <c r="R99" s="24">
        <v>24</v>
      </c>
      <c r="S99" s="24">
        <v>99.479896384728022</v>
      </c>
      <c r="T99" s="24">
        <v>2.520103615271978</v>
      </c>
      <c r="U99" s="24">
        <v>0.76994659142670541</v>
      </c>
      <c r="V99" s="24"/>
      <c r="W99" s="24">
        <v>19.583333333333336</v>
      </c>
      <c r="X99" s="24">
        <v>91</v>
      </c>
      <c r="Y99" s="24"/>
      <c r="Z99" s="24"/>
    </row>
    <row r="100" spans="1:26" ht="28.2" customHeight="1" x14ac:dyDescent="0.3">
      <c r="A100" s="24">
        <v>98</v>
      </c>
      <c r="B100" s="24">
        <v>241</v>
      </c>
      <c r="C100" s="24" t="s">
        <v>84</v>
      </c>
      <c r="D100" s="25">
        <v>15684</v>
      </c>
      <c r="E100" s="24">
        <v>96</v>
      </c>
      <c r="F100" s="24">
        <v>149</v>
      </c>
      <c r="G100" s="24" t="s">
        <v>83</v>
      </c>
      <c r="H100" s="24">
        <v>94.5</v>
      </c>
      <c r="I100" s="24">
        <v>128</v>
      </c>
      <c r="K100" s="1">
        <v>101.5</v>
      </c>
      <c r="L100" s="1">
        <v>96.5</v>
      </c>
      <c r="R100" s="24">
        <v>25</v>
      </c>
      <c r="S100" s="24">
        <v>96.960524833877699</v>
      </c>
      <c r="T100" s="24">
        <v>2.0394751661223012</v>
      </c>
      <c r="U100" s="24">
        <v>0.62310412275878146</v>
      </c>
      <c r="V100" s="24"/>
      <c r="W100" s="24">
        <v>20.416666666666668</v>
      </c>
      <c r="X100" s="24">
        <v>91</v>
      </c>
      <c r="Y100" s="24"/>
      <c r="Z100" s="24"/>
    </row>
    <row r="101" spans="1:26" ht="28.2" customHeight="1" x14ac:dyDescent="0.3">
      <c r="A101" s="24">
        <v>99</v>
      </c>
      <c r="B101" s="24">
        <v>243</v>
      </c>
      <c r="C101" s="24" t="s">
        <v>84</v>
      </c>
      <c r="D101" s="25">
        <v>17820</v>
      </c>
      <c r="E101" s="24">
        <v>91.5</v>
      </c>
      <c r="F101" s="24">
        <v>141.5</v>
      </c>
      <c r="G101" s="24" t="s">
        <v>86</v>
      </c>
      <c r="H101" s="24">
        <v>93</v>
      </c>
      <c r="I101" s="24">
        <v>124</v>
      </c>
      <c r="K101" s="1">
        <v>103.5</v>
      </c>
      <c r="L101" s="1">
        <v>91.5</v>
      </c>
      <c r="R101" s="24">
        <v>26</v>
      </c>
      <c r="S101" s="24">
        <v>97.800315350827802</v>
      </c>
      <c r="T101" s="24">
        <v>2.6996846491721982</v>
      </c>
      <c r="U101" s="24">
        <v>0.82481251205728856</v>
      </c>
      <c r="V101" s="24"/>
      <c r="W101" s="24">
        <v>21.250000000000004</v>
      </c>
      <c r="X101" s="24">
        <v>91.5</v>
      </c>
      <c r="Y101" s="24"/>
      <c r="Z101" s="24"/>
    </row>
    <row r="102" spans="1:26" ht="28.2" customHeight="1" x14ac:dyDescent="0.3">
      <c r="A102" s="24">
        <v>100</v>
      </c>
      <c r="B102" s="24">
        <v>245</v>
      </c>
      <c r="C102" s="24" t="s">
        <v>84</v>
      </c>
      <c r="D102" s="25">
        <v>13735</v>
      </c>
      <c r="E102" s="24">
        <v>95</v>
      </c>
      <c r="F102" s="24">
        <v>148.5</v>
      </c>
      <c r="G102" s="24" t="s">
        <v>83</v>
      </c>
      <c r="H102" s="24">
        <v>89</v>
      </c>
      <c r="I102" s="24">
        <v>131.5</v>
      </c>
      <c r="K102" s="1">
        <v>101</v>
      </c>
      <c r="L102" s="1">
        <v>95</v>
      </c>
      <c r="R102" s="24">
        <v>27</v>
      </c>
      <c r="S102" s="24">
        <v>95.560873972294189</v>
      </c>
      <c r="T102" s="24">
        <v>0.93912602770581088</v>
      </c>
      <c r="U102" s="24">
        <v>0.28692347392793766</v>
      </c>
      <c r="V102" s="24"/>
      <c r="W102" s="24">
        <v>22.083333333333336</v>
      </c>
      <c r="X102" s="24">
        <v>91.5</v>
      </c>
      <c r="Y102" s="24"/>
      <c r="Z102" s="24"/>
    </row>
    <row r="103" spans="1:26" ht="28.2" customHeight="1" x14ac:dyDescent="0.3">
      <c r="A103" s="24">
        <v>101</v>
      </c>
      <c r="B103" s="24">
        <v>247</v>
      </c>
      <c r="C103" s="24" t="s">
        <v>82</v>
      </c>
      <c r="D103" s="25">
        <v>17508</v>
      </c>
      <c r="E103" s="24">
        <v>101</v>
      </c>
      <c r="F103" s="24">
        <v>143.5</v>
      </c>
      <c r="G103" s="24" t="s">
        <v>85</v>
      </c>
      <c r="H103" s="24">
        <v>90.5</v>
      </c>
      <c r="I103" s="24">
        <v>129.5</v>
      </c>
      <c r="K103" s="1">
        <v>105.5</v>
      </c>
      <c r="L103" s="1">
        <v>95.5</v>
      </c>
      <c r="R103" s="24">
        <v>28</v>
      </c>
      <c r="S103" s="24">
        <v>97.240455006194395</v>
      </c>
      <c r="T103" s="24">
        <v>-3.2404550061943951</v>
      </c>
      <c r="U103" s="24">
        <v>-0.99002964464288967</v>
      </c>
      <c r="V103" s="24"/>
      <c r="W103" s="24">
        <v>22.916666666666668</v>
      </c>
      <c r="X103" s="24">
        <v>91.5</v>
      </c>
      <c r="Y103" s="24"/>
      <c r="Z103" s="24"/>
    </row>
    <row r="104" spans="1:26" ht="28.2" customHeight="1" x14ac:dyDescent="0.3">
      <c r="A104" s="24">
        <v>102</v>
      </c>
      <c r="B104" s="24">
        <v>249</v>
      </c>
      <c r="C104" s="24" t="s">
        <v>84</v>
      </c>
      <c r="D104" s="25">
        <v>13967</v>
      </c>
      <c r="E104" s="24">
        <v>90</v>
      </c>
      <c r="F104" s="24">
        <v>147.5</v>
      </c>
      <c r="G104" s="24" t="s">
        <v>83</v>
      </c>
      <c r="H104" s="24">
        <v>92</v>
      </c>
      <c r="I104" s="24">
        <v>132</v>
      </c>
      <c r="K104" s="1">
        <v>97</v>
      </c>
      <c r="L104" s="1">
        <v>93.5</v>
      </c>
      <c r="R104" s="24">
        <v>29</v>
      </c>
      <c r="S104" s="24">
        <v>91.641851559860356</v>
      </c>
      <c r="T104" s="24">
        <v>-5.1418515598603562</v>
      </c>
      <c r="U104" s="24">
        <v>-1.5709477412536095</v>
      </c>
      <c r="V104" s="24"/>
      <c r="W104" s="24">
        <v>23.750000000000004</v>
      </c>
      <c r="X104" s="24">
        <v>92</v>
      </c>
      <c r="Y104" s="24"/>
      <c r="Z104" s="24"/>
    </row>
    <row r="105" spans="1:26" ht="28.2" customHeight="1" x14ac:dyDescent="0.3">
      <c r="A105" s="24">
        <v>103</v>
      </c>
      <c r="B105" s="24">
        <v>251</v>
      </c>
      <c r="C105" s="24" t="s">
        <v>82</v>
      </c>
      <c r="D105" s="25">
        <v>15456</v>
      </c>
      <c r="E105" s="24">
        <v>95</v>
      </c>
      <c r="F105" s="24">
        <v>140.5</v>
      </c>
      <c r="G105" s="24" t="s">
        <v>83</v>
      </c>
      <c r="H105" s="24">
        <v>92</v>
      </c>
      <c r="I105" s="24">
        <v>136</v>
      </c>
      <c r="K105" s="1">
        <v>96.5</v>
      </c>
      <c r="L105" s="1">
        <v>95</v>
      </c>
      <c r="R105" s="24">
        <v>30</v>
      </c>
      <c r="S105" s="24">
        <v>95.560873972294189</v>
      </c>
      <c r="T105" s="24">
        <v>0.43912602770581088</v>
      </c>
      <c r="U105" s="24">
        <v>0.13416257418540659</v>
      </c>
      <c r="V105" s="24"/>
      <c r="W105" s="24">
        <v>24.583333333333336</v>
      </c>
      <c r="X105" s="24">
        <v>92</v>
      </c>
      <c r="Y105" s="24"/>
      <c r="Z105" s="24"/>
    </row>
    <row r="106" spans="1:26" ht="28.2" customHeight="1" x14ac:dyDescent="0.3">
      <c r="A106" s="24">
        <v>104</v>
      </c>
      <c r="B106" s="24">
        <v>253</v>
      </c>
      <c r="C106" s="24" t="s">
        <v>84</v>
      </c>
      <c r="D106" s="25">
        <v>21779</v>
      </c>
      <c r="E106" s="24">
        <v>94.5</v>
      </c>
      <c r="F106" s="24">
        <v>143</v>
      </c>
      <c r="G106" s="24" t="s">
        <v>83</v>
      </c>
      <c r="H106" s="24">
        <v>91</v>
      </c>
      <c r="I106" s="24">
        <v>124.5</v>
      </c>
      <c r="K106" s="1">
        <v>99</v>
      </c>
      <c r="L106" s="1">
        <v>93</v>
      </c>
      <c r="R106" s="24">
        <v>31</v>
      </c>
      <c r="S106" s="24">
        <v>95.560873972294189</v>
      </c>
      <c r="T106" s="24">
        <v>-4.5608739722941891</v>
      </c>
      <c r="U106" s="24">
        <v>-1.393446423239904</v>
      </c>
      <c r="V106" s="24"/>
      <c r="W106" s="24">
        <v>25.416666666666668</v>
      </c>
      <c r="X106" s="24">
        <v>92</v>
      </c>
      <c r="Y106" s="24"/>
      <c r="Z106" s="24"/>
    </row>
    <row r="107" spans="1:26" ht="28.2" customHeight="1" x14ac:dyDescent="0.3">
      <c r="A107" s="24">
        <v>105</v>
      </c>
      <c r="B107" s="24">
        <v>254</v>
      </c>
      <c r="C107" s="24" t="s">
        <v>82</v>
      </c>
      <c r="D107" s="25">
        <v>16400</v>
      </c>
      <c r="E107" s="24">
        <v>100</v>
      </c>
      <c r="F107" s="24">
        <v>147</v>
      </c>
      <c r="G107" s="24" t="s">
        <v>86</v>
      </c>
      <c r="H107" s="24">
        <v>88</v>
      </c>
      <c r="I107" s="24">
        <v>120.5</v>
      </c>
      <c r="K107" s="1">
        <v>103.5</v>
      </c>
      <c r="L107" s="1">
        <v>96.5</v>
      </c>
      <c r="R107" s="24">
        <v>32</v>
      </c>
      <c r="S107" s="24">
        <v>97.520385178511106</v>
      </c>
      <c r="T107" s="24">
        <v>-4.0203851785111056</v>
      </c>
      <c r="U107" s="24">
        <v>-1.2283153143617855</v>
      </c>
      <c r="V107" s="24"/>
      <c r="W107" s="24">
        <v>26.250000000000004</v>
      </c>
      <c r="X107" s="24">
        <v>92</v>
      </c>
      <c r="Y107" s="24"/>
      <c r="Z107" s="24"/>
    </row>
    <row r="108" spans="1:26" ht="28.2" customHeight="1" x14ac:dyDescent="0.3">
      <c r="A108" s="24">
        <v>106</v>
      </c>
      <c r="B108" s="24">
        <v>257</v>
      </c>
      <c r="C108" s="24" t="s">
        <v>82</v>
      </c>
      <c r="D108" s="25">
        <v>15002</v>
      </c>
      <c r="E108" s="24">
        <v>97</v>
      </c>
      <c r="F108" s="24">
        <v>144</v>
      </c>
      <c r="G108" s="24" t="s">
        <v>83</v>
      </c>
      <c r="H108" s="24">
        <v>92</v>
      </c>
      <c r="I108" s="24">
        <v>129.5</v>
      </c>
      <c r="K108" s="1">
        <v>100</v>
      </c>
      <c r="L108" s="1">
        <v>100</v>
      </c>
      <c r="R108" s="24">
        <v>33</v>
      </c>
      <c r="S108" s="24">
        <v>92.761572249127155</v>
      </c>
      <c r="T108" s="24">
        <v>-4.2615722491271555</v>
      </c>
      <c r="U108" s="24">
        <v>-1.3020032221889319</v>
      </c>
      <c r="V108" s="24"/>
      <c r="W108" s="24">
        <v>27.083333333333336</v>
      </c>
      <c r="X108" s="24">
        <v>92</v>
      </c>
      <c r="Y108" s="24"/>
      <c r="Z108" s="24"/>
    </row>
    <row r="109" spans="1:26" ht="28.2" customHeight="1" x14ac:dyDescent="0.3">
      <c r="A109" s="24">
        <v>107</v>
      </c>
      <c r="B109" s="24">
        <v>259</v>
      </c>
      <c r="C109" s="24" t="s">
        <v>84</v>
      </c>
      <c r="D109" s="25">
        <v>19839</v>
      </c>
      <c r="E109" s="24">
        <v>96</v>
      </c>
      <c r="F109" s="24">
        <v>147</v>
      </c>
      <c r="G109" s="24" t="s">
        <v>83</v>
      </c>
      <c r="H109" s="24">
        <v>94</v>
      </c>
      <c r="I109" s="24">
        <v>133.5</v>
      </c>
      <c r="K109" s="1">
        <v>100</v>
      </c>
      <c r="L109" s="1">
        <v>89.5</v>
      </c>
      <c r="R109" s="24">
        <v>34</v>
      </c>
      <c r="S109" s="24">
        <v>95.280943799977479</v>
      </c>
      <c r="T109" s="24">
        <v>-3.7809437999774786</v>
      </c>
      <c r="U109" s="24">
        <v>-1.155160753521008</v>
      </c>
      <c r="V109" s="24"/>
      <c r="W109" s="24">
        <v>27.916666666666668</v>
      </c>
      <c r="X109" s="24">
        <v>92</v>
      </c>
      <c r="Y109" s="24"/>
      <c r="Z109" s="24"/>
    </row>
    <row r="110" spans="1:26" ht="28.2" customHeight="1" x14ac:dyDescent="0.3">
      <c r="A110" s="24">
        <v>108</v>
      </c>
      <c r="B110" s="24">
        <v>260</v>
      </c>
      <c r="C110" s="24" t="s">
        <v>82</v>
      </c>
      <c r="D110" s="25">
        <v>20333</v>
      </c>
      <c r="E110" s="24">
        <v>94</v>
      </c>
      <c r="F110" s="24">
        <v>143</v>
      </c>
      <c r="G110" s="24" t="s">
        <v>83</v>
      </c>
      <c r="H110" s="24">
        <v>93</v>
      </c>
      <c r="I110" s="24">
        <v>127.5</v>
      </c>
      <c r="K110" s="1">
        <v>98</v>
      </c>
      <c r="L110" s="1">
        <v>99</v>
      </c>
      <c r="R110" s="24">
        <v>35</v>
      </c>
      <c r="S110" s="24">
        <v>95.840804144610885</v>
      </c>
      <c r="T110" s="24">
        <v>-1.3408041446108854</v>
      </c>
      <c r="U110" s="24">
        <v>-0.40964489501854712</v>
      </c>
      <c r="V110" s="24"/>
      <c r="W110" s="24">
        <v>28.750000000000004</v>
      </c>
      <c r="X110" s="24">
        <v>92</v>
      </c>
      <c r="Y110" s="24"/>
      <c r="Z110" s="24"/>
    </row>
    <row r="111" spans="1:26" ht="28.2" customHeight="1" x14ac:dyDescent="0.3">
      <c r="A111" s="24">
        <v>109</v>
      </c>
      <c r="B111" s="24">
        <v>262</v>
      </c>
      <c r="C111" s="24" t="s">
        <v>82</v>
      </c>
      <c r="D111" s="25">
        <v>22760</v>
      </c>
      <c r="E111" s="24">
        <v>91</v>
      </c>
      <c r="F111" s="24">
        <v>143.5</v>
      </c>
      <c r="G111" s="24" t="s">
        <v>83</v>
      </c>
      <c r="H111" s="24">
        <v>90</v>
      </c>
      <c r="I111" s="24">
        <v>123</v>
      </c>
      <c r="K111" s="1">
        <v>101</v>
      </c>
      <c r="L111" s="1">
        <v>94.5</v>
      </c>
      <c r="R111" s="24">
        <v>36</v>
      </c>
      <c r="S111" s="24">
        <v>96.680594661561003</v>
      </c>
      <c r="T111" s="24">
        <v>-0.68059466156100257</v>
      </c>
      <c r="U111" s="24">
        <v>-0.20793650572004432</v>
      </c>
      <c r="V111" s="24"/>
      <c r="W111" s="24">
        <v>29.583333333333336</v>
      </c>
      <c r="X111" s="24">
        <v>92</v>
      </c>
      <c r="Y111" s="24"/>
      <c r="Z111" s="24"/>
    </row>
    <row r="112" spans="1:26" ht="28.2" customHeight="1" x14ac:dyDescent="0.3">
      <c r="A112" s="24">
        <v>110</v>
      </c>
      <c r="B112" s="24">
        <v>263</v>
      </c>
      <c r="C112" s="24" t="s">
        <v>82</v>
      </c>
      <c r="D112" s="25">
        <v>18649</v>
      </c>
      <c r="E112" s="24">
        <v>95</v>
      </c>
      <c r="F112" s="24">
        <v>146.5</v>
      </c>
      <c r="G112" s="24" t="s">
        <v>85</v>
      </c>
      <c r="H112" s="24">
        <v>84</v>
      </c>
      <c r="I112" s="24">
        <v>124</v>
      </c>
      <c r="K112" s="1">
        <v>101</v>
      </c>
      <c r="L112" s="1">
        <v>92</v>
      </c>
      <c r="R112" s="24">
        <v>37</v>
      </c>
      <c r="S112" s="24">
        <v>100.87954724631153</v>
      </c>
      <c r="T112" s="24">
        <v>-3.8795472463115317</v>
      </c>
      <c r="U112" s="24">
        <v>-1.1852862558804167</v>
      </c>
      <c r="V112" s="24"/>
      <c r="W112" s="24">
        <v>30.416666666666668</v>
      </c>
      <c r="X112" s="24">
        <v>92</v>
      </c>
      <c r="Y112" s="24"/>
      <c r="Z112" s="24"/>
    </row>
    <row r="113" spans="1:26" ht="28.2" customHeight="1" x14ac:dyDescent="0.3">
      <c r="A113" s="24">
        <v>111</v>
      </c>
      <c r="B113" s="24">
        <v>265</v>
      </c>
      <c r="C113" s="24" t="s">
        <v>84</v>
      </c>
      <c r="D113" s="25">
        <v>19190</v>
      </c>
      <c r="E113" s="24">
        <v>96.5</v>
      </c>
      <c r="F113" s="24">
        <v>140</v>
      </c>
      <c r="G113" s="24" t="s">
        <v>83</v>
      </c>
      <c r="H113" s="24">
        <v>92</v>
      </c>
      <c r="I113" s="24">
        <v>124</v>
      </c>
      <c r="K113" s="1">
        <v>103.5</v>
      </c>
      <c r="L113" s="1">
        <v>94</v>
      </c>
      <c r="R113" s="24">
        <v>38</v>
      </c>
      <c r="S113" s="24">
        <v>96.400664489244292</v>
      </c>
      <c r="T113" s="24">
        <v>5.0993355107557079</v>
      </c>
      <c r="U113" s="24">
        <v>1.5579581614241622</v>
      </c>
      <c r="V113" s="24"/>
      <c r="W113" s="24">
        <v>31.250000000000004</v>
      </c>
      <c r="X113" s="24">
        <v>92</v>
      </c>
      <c r="Y113" s="24"/>
      <c r="Z113" s="24"/>
    </row>
    <row r="114" spans="1:26" ht="28.2" customHeight="1" x14ac:dyDescent="0.3">
      <c r="A114" s="24">
        <v>112</v>
      </c>
      <c r="B114" s="24">
        <v>268</v>
      </c>
      <c r="C114" s="24" t="s">
        <v>82</v>
      </c>
      <c r="D114" s="25">
        <v>18907</v>
      </c>
      <c r="E114" s="24">
        <v>92</v>
      </c>
      <c r="F114" s="24">
        <v>139.5</v>
      </c>
      <c r="G114" s="24" t="s">
        <v>83</v>
      </c>
      <c r="H114" s="24">
        <v>85.5</v>
      </c>
      <c r="I114" s="24">
        <v>120.5</v>
      </c>
      <c r="K114" s="1">
        <v>103</v>
      </c>
      <c r="L114" s="1">
        <v>101.5</v>
      </c>
      <c r="R114" s="24">
        <v>39</v>
      </c>
      <c r="S114" s="24">
        <v>96.400664489244292</v>
      </c>
      <c r="T114" s="24">
        <v>-2.9006644892442921</v>
      </c>
      <c r="U114" s="24">
        <v>-0.88621623445633468</v>
      </c>
      <c r="V114" s="24"/>
      <c r="W114" s="24">
        <v>32.083333333333336</v>
      </c>
      <c r="X114" s="24">
        <v>92</v>
      </c>
      <c r="Y114" s="24"/>
      <c r="Z114" s="24"/>
    </row>
    <row r="115" spans="1:26" ht="28.2" customHeight="1" x14ac:dyDescent="0.3">
      <c r="A115" s="24">
        <v>113</v>
      </c>
      <c r="B115" s="24">
        <v>269</v>
      </c>
      <c r="C115" s="24" t="s">
        <v>84</v>
      </c>
      <c r="D115" s="25">
        <v>15103</v>
      </c>
      <c r="E115" s="24">
        <v>89</v>
      </c>
      <c r="F115" s="24">
        <v>136</v>
      </c>
      <c r="G115" s="24" t="s">
        <v>83</v>
      </c>
      <c r="H115" s="24">
        <v>89</v>
      </c>
      <c r="I115" s="24">
        <v>127</v>
      </c>
      <c r="K115" s="1">
        <v>98.5</v>
      </c>
      <c r="L115" s="1">
        <v>92</v>
      </c>
      <c r="R115" s="24">
        <v>40</v>
      </c>
      <c r="S115" s="24">
        <v>94.441153283027376</v>
      </c>
      <c r="T115" s="24">
        <v>3.0588467169726243</v>
      </c>
      <c r="U115" s="24">
        <v>0.93454435331845065</v>
      </c>
      <c r="V115" s="24"/>
      <c r="W115" s="24">
        <v>32.916666666666664</v>
      </c>
      <c r="X115" s="24">
        <v>92</v>
      </c>
      <c r="Y115" s="24"/>
      <c r="Z115" s="24"/>
    </row>
    <row r="116" spans="1:26" ht="28.2" customHeight="1" x14ac:dyDescent="0.3">
      <c r="A116" s="24">
        <v>114</v>
      </c>
      <c r="B116" s="24">
        <v>271</v>
      </c>
      <c r="C116" s="24" t="s">
        <v>84</v>
      </c>
      <c r="D116" s="25">
        <v>13964</v>
      </c>
      <c r="E116" s="24">
        <v>96</v>
      </c>
      <c r="F116" s="24">
        <v>147.5</v>
      </c>
      <c r="G116" s="24" t="s">
        <v>83</v>
      </c>
      <c r="H116" s="24">
        <v>93</v>
      </c>
      <c r="I116" s="24">
        <v>129</v>
      </c>
      <c r="K116" s="1">
        <v>104</v>
      </c>
      <c r="L116" s="1">
        <v>97.5</v>
      </c>
      <c r="R116" s="24">
        <v>41</v>
      </c>
      <c r="S116" s="24">
        <v>95.840804144610885</v>
      </c>
      <c r="T116" s="24">
        <v>3.6591958553891146</v>
      </c>
      <c r="U116" s="24">
        <v>1.1179641024067635</v>
      </c>
      <c r="V116" s="24"/>
      <c r="W116" s="24">
        <v>33.75</v>
      </c>
      <c r="X116" s="24">
        <v>92.5</v>
      </c>
      <c r="Y116" s="24"/>
      <c r="Z116" s="24"/>
    </row>
    <row r="117" spans="1:26" ht="28.2" customHeight="1" x14ac:dyDescent="0.3">
      <c r="A117" s="24">
        <v>115</v>
      </c>
      <c r="B117" s="24">
        <v>272</v>
      </c>
      <c r="C117" s="24" t="s">
        <v>84</v>
      </c>
      <c r="D117" s="25">
        <v>27912</v>
      </c>
      <c r="E117" s="24">
        <v>91.5</v>
      </c>
      <c r="F117" s="24">
        <v>141.5</v>
      </c>
      <c r="G117" s="24" t="s">
        <v>83</v>
      </c>
      <c r="H117" s="24">
        <v>88.5</v>
      </c>
      <c r="I117" s="24">
        <v>128.5</v>
      </c>
      <c r="K117" s="1">
        <v>98.5</v>
      </c>
      <c r="L117" s="1">
        <v>92</v>
      </c>
      <c r="R117" s="24">
        <v>42</v>
      </c>
      <c r="S117" s="24">
        <v>95.001013627660768</v>
      </c>
      <c r="T117" s="24">
        <v>4.4989863723392318</v>
      </c>
      <c r="U117" s="24">
        <v>1.3745384123358537</v>
      </c>
      <c r="V117" s="24"/>
      <c r="W117" s="24">
        <v>34.583333333333336</v>
      </c>
      <c r="X117" s="24">
        <v>93</v>
      </c>
      <c r="Y117" s="24"/>
      <c r="Z117" s="24"/>
    </row>
    <row r="118" spans="1:26" ht="28.2" customHeight="1" x14ac:dyDescent="0.3">
      <c r="A118" s="24">
        <v>116</v>
      </c>
      <c r="B118" s="24">
        <v>275</v>
      </c>
      <c r="C118" s="24" t="s">
        <v>84</v>
      </c>
      <c r="D118" s="25">
        <v>15538</v>
      </c>
      <c r="E118" s="24">
        <v>94.5</v>
      </c>
      <c r="F118" s="24">
        <v>146</v>
      </c>
      <c r="G118" s="24" t="s">
        <v>87</v>
      </c>
      <c r="H118" s="24">
        <v>93</v>
      </c>
      <c r="I118" s="24">
        <v>128</v>
      </c>
      <c r="K118" s="1">
        <v>98.5</v>
      </c>
      <c r="L118" s="1">
        <v>93.5</v>
      </c>
      <c r="R118" s="24">
        <v>43</v>
      </c>
      <c r="S118" s="24">
        <v>98.920036040094615</v>
      </c>
      <c r="T118" s="24">
        <v>7.9963959905384741E-2</v>
      </c>
      <c r="U118" s="24">
        <v>2.4430732924244504E-2</v>
      </c>
      <c r="V118" s="24"/>
      <c r="W118" s="24">
        <v>35.416666666666664</v>
      </c>
      <c r="X118" s="24">
        <v>93</v>
      </c>
      <c r="Y118" s="24"/>
      <c r="Z118" s="24"/>
    </row>
    <row r="119" spans="1:26" ht="28.2" customHeight="1" x14ac:dyDescent="0.3">
      <c r="A119" s="24">
        <v>117</v>
      </c>
      <c r="B119" s="24">
        <v>276</v>
      </c>
      <c r="C119" s="24" t="s">
        <v>82</v>
      </c>
      <c r="D119" s="25">
        <v>30239</v>
      </c>
      <c r="E119" s="24">
        <v>92</v>
      </c>
      <c r="F119" s="24">
        <v>136</v>
      </c>
      <c r="G119" s="24" t="s">
        <v>85</v>
      </c>
      <c r="H119" s="24">
        <v>83</v>
      </c>
      <c r="I119" s="24">
        <v>128.5</v>
      </c>
      <c r="K119" s="1">
        <v>100.5</v>
      </c>
      <c r="L119" s="1">
        <v>89.5</v>
      </c>
      <c r="R119" s="24">
        <v>44</v>
      </c>
      <c r="S119" s="24">
        <v>94.441153283027376</v>
      </c>
      <c r="T119" s="24">
        <v>-2.4411532830273757</v>
      </c>
      <c r="U119" s="24">
        <v>-0.74582554384939093</v>
      </c>
      <c r="V119" s="24"/>
      <c r="W119" s="24">
        <v>36.25</v>
      </c>
      <c r="X119" s="24">
        <v>93</v>
      </c>
      <c r="Y119" s="24"/>
      <c r="Z119" s="24"/>
    </row>
    <row r="120" spans="1:26" ht="28.2" customHeight="1" x14ac:dyDescent="0.3">
      <c r="A120" s="24">
        <v>118</v>
      </c>
      <c r="B120" s="24">
        <v>277</v>
      </c>
      <c r="C120" s="24" t="s">
        <v>82</v>
      </c>
      <c r="D120" s="25">
        <v>15886</v>
      </c>
      <c r="E120" s="24">
        <v>93</v>
      </c>
      <c r="F120" s="24">
        <v>138.5</v>
      </c>
      <c r="G120" s="24" t="s">
        <v>83</v>
      </c>
      <c r="H120" s="24">
        <v>89</v>
      </c>
      <c r="I120" s="24">
        <v>133.5</v>
      </c>
      <c r="K120" s="1">
        <v>100</v>
      </c>
      <c r="L120" s="1">
        <v>100.5</v>
      </c>
      <c r="R120" s="24">
        <v>45</v>
      </c>
      <c r="S120" s="24">
        <v>94.721083455344072</v>
      </c>
      <c r="T120" s="24">
        <v>2.2789165446559281</v>
      </c>
      <c r="U120" s="24">
        <v>0.696258683599559</v>
      </c>
      <c r="V120" s="24"/>
      <c r="W120" s="24">
        <v>37.083333333333336</v>
      </c>
      <c r="X120" s="24">
        <v>93</v>
      </c>
      <c r="Y120" s="24"/>
      <c r="Z120" s="24"/>
    </row>
    <row r="121" spans="1:26" ht="28.2" customHeight="1" x14ac:dyDescent="0.3">
      <c r="A121" s="24">
        <v>119</v>
      </c>
      <c r="B121" s="24">
        <v>278</v>
      </c>
      <c r="C121" s="24" t="s">
        <v>82</v>
      </c>
      <c r="D121" s="25">
        <v>15551</v>
      </c>
      <c r="E121" s="24">
        <v>92.5</v>
      </c>
      <c r="F121" s="24">
        <v>148.5</v>
      </c>
      <c r="G121" s="24" t="s">
        <v>83</v>
      </c>
      <c r="H121" s="24">
        <v>90</v>
      </c>
      <c r="I121" s="24">
        <v>126.5</v>
      </c>
      <c r="K121" s="1">
        <v>98</v>
      </c>
      <c r="L121" s="1">
        <v>89</v>
      </c>
      <c r="R121" s="24">
        <v>46</v>
      </c>
      <c r="S121" s="24">
        <v>100.59961707399484</v>
      </c>
      <c r="T121" s="24">
        <v>0.40038292600516456</v>
      </c>
      <c r="U121" s="24">
        <v>0.12232571203619234</v>
      </c>
      <c r="V121" s="24"/>
      <c r="W121" s="24">
        <v>37.916666666666664</v>
      </c>
      <c r="X121" s="24">
        <v>93</v>
      </c>
      <c r="Y121" s="24"/>
      <c r="Z121" s="24"/>
    </row>
    <row r="122" spans="1:26" ht="28.2" customHeight="1" x14ac:dyDescent="0.3">
      <c r="K122" s="1">
        <v>96.5</v>
      </c>
      <c r="L122" s="1">
        <v>96</v>
      </c>
      <c r="R122" s="24">
        <v>47</v>
      </c>
      <c r="S122" s="24">
        <v>91.361921387543646</v>
      </c>
      <c r="T122" s="24">
        <v>-1.8619213875436458</v>
      </c>
      <c r="U122" s="24">
        <v>-0.5688575728220584</v>
      </c>
      <c r="V122" s="24"/>
      <c r="W122" s="24">
        <v>38.75</v>
      </c>
      <c r="X122" s="24">
        <v>93</v>
      </c>
      <c r="Y122" s="24"/>
      <c r="Z122" s="24"/>
    </row>
    <row r="123" spans="1:26" ht="28.2" customHeight="1" x14ac:dyDescent="0.3">
      <c r="K123" s="1">
        <v>99.5</v>
      </c>
      <c r="L123" s="1">
        <v>95</v>
      </c>
      <c r="R123" s="24">
        <v>48</v>
      </c>
      <c r="S123" s="24">
        <v>95.001013627660768</v>
      </c>
      <c r="T123" s="24">
        <v>1.4989863723392318</v>
      </c>
      <c r="U123" s="24">
        <v>0.45797301388066741</v>
      </c>
      <c r="V123" s="24"/>
      <c r="W123" s="24">
        <v>39.583333333333336</v>
      </c>
      <c r="X123" s="24">
        <v>93</v>
      </c>
      <c r="Y123" s="24"/>
      <c r="Z123" s="24"/>
    </row>
    <row r="124" spans="1:26" ht="28.2" customHeight="1" x14ac:dyDescent="0.3">
      <c r="K124" s="1">
        <v>99</v>
      </c>
      <c r="L124" s="1">
        <v>96</v>
      </c>
      <c r="R124" s="24">
        <v>49</v>
      </c>
      <c r="S124" s="24">
        <v>96.120734316927582</v>
      </c>
      <c r="T124" s="24">
        <v>-4.6207343169275816</v>
      </c>
      <c r="U124" s="24">
        <v>-1.411735063450094</v>
      </c>
      <c r="V124" s="24"/>
      <c r="W124" s="24">
        <v>40.416666666666664</v>
      </c>
      <c r="X124" s="24">
        <v>93</v>
      </c>
      <c r="Y124" s="24"/>
      <c r="Z124" s="24"/>
    </row>
    <row r="125" spans="1:26" ht="28.2" customHeight="1" x14ac:dyDescent="0.3">
      <c r="K125" s="1">
        <v>104</v>
      </c>
      <c r="L125" s="1">
        <v>92</v>
      </c>
      <c r="R125" s="24">
        <v>50</v>
      </c>
      <c r="S125" s="24">
        <v>94.721083455344072</v>
      </c>
      <c r="T125" s="24">
        <v>0.27891654465592808</v>
      </c>
      <c r="U125" s="24">
        <v>8.5215084629434834E-2</v>
      </c>
      <c r="V125" s="24"/>
      <c r="W125" s="24">
        <v>41.25</v>
      </c>
      <c r="X125" s="24">
        <v>93</v>
      </c>
      <c r="Y125" s="24"/>
      <c r="Z125" s="24"/>
    </row>
    <row r="126" spans="1:26" ht="28.2" customHeight="1" x14ac:dyDescent="0.3">
      <c r="K126" s="1">
        <v>101</v>
      </c>
      <c r="L126" s="1">
        <v>93</v>
      </c>
      <c r="R126" s="24">
        <v>51</v>
      </c>
      <c r="S126" s="24">
        <v>97.240455006194395</v>
      </c>
      <c r="T126" s="24">
        <v>-1.7404550061943951</v>
      </c>
      <c r="U126" s="24">
        <v>-0.53174694541529655</v>
      </c>
      <c r="V126" s="24"/>
      <c r="W126" s="24">
        <v>42.083333333333336</v>
      </c>
      <c r="X126" s="24">
        <v>93.5</v>
      </c>
      <c r="Y126" s="24"/>
      <c r="Z126" s="24"/>
    </row>
    <row r="127" spans="1:26" ht="28.2" customHeight="1" x14ac:dyDescent="0.3">
      <c r="K127" s="1">
        <v>100.5</v>
      </c>
      <c r="L127" s="1">
        <v>89</v>
      </c>
      <c r="R127" s="24">
        <v>52</v>
      </c>
      <c r="S127" s="24">
        <v>92.481642076810459</v>
      </c>
      <c r="T127" s="24">
        <v>1.0183579231895408</v>
      </c>
      <c r="U127" s="24">
        <v>0.31113054521273914</v>
      </c>
      <c r="V127" s="24"/>
      <c r="W127" s="24">
        <v>42.916666666666664</v>
      </c>
      <c r="X127" s="24">
        <v>93.5</v>
      </c>
      <c r="Y127" s="24"/>
      <c r="Z127" s="24"/>
    </row>
    <row r="128" spans="1:26" ht="28.2" customHeight="1" x14ac:dyDescent="0.3">
      <c r="K128" s="1">
        <v>100</v>
      </c>
      <c r="L128" s="1">
        <v>95</v>
      </c>
      <c r="R128" s="24">
        <v>53</v>
      </c>
      <c r="S128" s="24">
        <v>92.201711904493749</v>
      </c>
      <c r="T128" s="24">
        <v>2.7982880955062512</v>
      </c>
      <c r="U128" s="24">
        <v>0.85493801441669726</v>
      </c>
      <c r="V128" s="24"/>
      <c r="W128" s="24">
        <v>43.75</v>
      </c>
      <c r="X128" s="24">
        <v>93.5</v>
      </c>
      <c r="Y128" s="24"/>
      <c r="Z128" s="24"/>
    </row>
    <row r="129" spans="11:26" ht="28.2" customHeight="1" x14ac:dyDescent="0.3">
      <c r="K129" s="1">
        <v>99</v>
      </c>
      <c r="L129" s="1">
        <v>93</v>
      </c>
      <c r="R129" s="24">
        <v>54</v>
      </c>
      <c r="S129" s="24">
        <v>93.601362766077273</v>
      </c>
      <c r="T129" s="24">
        <v>-0.60136276607727268</v>
      </c>
      <c r="U129" s="24">
        <v>-0.18372943443524281</v>
      </c>
      <c r="V129" s="24"/>
      <c r="W129" s="24">
        <v>44.583333333333336</v>
      </c>
      <c r="X129" s="24">
        <v>93.5</v>
      </c>
      <c r="Y129" s="24"/>
      <c r="Z129" s="24"/>
    </row>
    <row r="130" spans="11:26" ht="28.2" customHeight="1" x14ac:dyDescent="0.3">
      <c r="K130" s="1">
        <v>104</v>
      </c>
      <c r="L130" s="1">
        <v>95</v>
      </c>
      <c r="R130" s="24">
        <v>55</v>
      </c>
      <c r="S130" s="24">
        <v>96.120734316927582</v>
      </c>
      <c r="T130" s="24">
        <v>0.37926568307241837</v>
      </c>
      <c r="U130" s="24">
        <v>0.11587393397521652</v>
      </c>
      <c r="V130" s="24"/>
      <c r="W130" s="24">
        <v>45.416666666666664</v>
      </c>
      <c r="X130" s="24">
        <v>93.5</v>
      </c>
      <c r="Y130" s="24"/>
      <c r="Z130" s="24"/>
    </row>
    <row r="131" spans="11:26" ht="28.2" customHeight="1" x14ac:dyDescent="0.3">
      <c r="K131" s="1">
        <v>103</v>
      </c>
      <c r="L131" s="1">
        <v>93.5</v>
      </c>
      <c r="R131" s="24">
        <v>56</v>
      </c>
      <c r="S131" s="24">
        <v>94.161223110710665</v>
      </c>
      <c r="T131" s="24">
        <v>5.8387768892893348</v>
      </c>
      <c r="U131" s="24">
        <v>1.7838736220074709</v>
      </c>
      <c r="V131" s="24"/>
      <c r="W131" s="24">
        <v>46.25</v>
      </c>
      <c r="X131" s="24">
        <v>93.5</v>
      </c>
      <c r="Y131" s="24"/>
      <c r="Z131" s="24"/>
    </row>
    <row r="132" spans="11:26" ht="28.2" customHeight="1" x14ac:dyDescent="0.3">
      <c r="K132" s="1">
        <v>102.5</v>
      </c>
      <c r="L132" s="1">
        <v>94</v>
      </c>
      <c r="R132" s="24">
        <v>57</v>
      </c>
      <c r="S132" s="24">
        <v>94.161223110710665</v>
      </c>
      <c r="T132" s="24">
        <v>-4.6612231107106652</v>
      </c>
      <c r="U132" s="24">
        <v>-1.4241052725856813</v>
      </c>
      <c r="V132" s="24"/>
      <c r="W132" s="24">
        <v>47.083333333333336</v>
      </c>
      <c r="X132" s="24">
        <v>93.5</v>
      </c>
      <c r="Y132" s="24"/>
      <c r="Z132" s="24"/>
    </row>
    <row r="133" spans="11:26" ht="28.2" customHeight="1" x14ac:dyDescent="0.3">
      <c r="K133" s="1">
        <v>95.5</v>
      </c>
      <c r="L133" s="1">
        <v>93</v>
      </c>
      <c r="R133" s="24">
        <v>58</v>
      </c>
      <c r="S133" s="24">
        <v>93.041502421443852</v>
      </c>
      <c r="T133" s="24">
        <v>5.9584975785561483</v>
      </c>
      <c r="U133" s="24">
        <v>1.8204509024278597</v>
      </c>
      <c r="V133" s="24"/>
      <c r="W133" s="24">
        <v>47.916666666666664</v>
      </c>
      <c r="X133" s="24">
        <v>93.5</v>
      </c>
      <c r="Y133" s="24"/>
      <c r="Z133" s="24"/>
    </row>
    <row r="134" spans="11:26" ht="28.2" customHeight="1" x14ac:dyDescent="0.3">
      <c r="K134" s="1">
        <v>97.5</v>
      </c>
      <c r="L134" s="1">
        <v>92</v>
      </c>
      <c r="R134" s="24">
        <v>59</v>
      </c>
      <c r="S134" s="24">
        <v>94.721083455344072</v>
      </c>
      <c r="T134" s="24">
        <v>-0.22108345534407192</v>
      </c>
      <c r="U134" s="24">
        <v>-6.7545815113096222E-2</v>
      </c>
      <c r="V134" s="24"/>
      <c r="W134" s="24">
        <v>48.75</v>
      </c>
      <c r="X134" s="24">
        <v>93.5</v>
      </c>
      <c r="Y134" s="24"/>
      <c r="Z134" s="24"/>
    </row>
    <row r="135" spans="11:26" ht="28.2" customHeight="1" x14ac:dyDescent="0.3">
      <c r="K135" s="1">
        <v>97.5</v>
      </c>
      <c r="L135" s="1">
        <v>99.5</v>
      </c>
      <c r="R135" s="24">
        <v>60</v>
      </c>
      <c r="S135" s="24">
        <v>94.721083455344072</v>
      </c>
      <c r="T135" s="24">
        <v>-2.7210834553440719</v>
      </c>
      <c r="U135" s="24">
        <v>-0.83135031382575153</v>
      </c>
      <c r="V135" s="24"/>
      <c r="W135" s="24">
        <v>49.583333333333336</v>
      </c>
      <c r="X135" s="24">
        <v>94</v>
      </c>
      <c r="Y135" s="24"/>
      <c r="Z135" s="24"/>
    </row>
    <row r="136" spans="11:26" ht="28.2" customHeight="1" x14ac:dyDescent="0.3">
      <c r="K136" s="1">
        <v>96</v>
      </c>
      <c r="L136" s="1">
        <v>93.5</v>
      </c>
      <c r="R136" s="24">
        <v>61</v>
      </c>
      <c r="S136" s="24">
        <v>96.120734316927582</v>
      </c>
      <c r="T136" s="24">
        <v>-2.1207343169275816</v>
      </c>
      <c r="U136" s="24">
        <v>-0.64793056473743871</v>
      </c>
      <c r="V136" s="24"/>
      <c r="W136" s="24">
        <v>50.416666666666664</v>
      </c>
      <c r="X136" s="24">
        <v>94</v>
      </c>
      <c r="Y136" s="24"/>
      <c r="Z136" s="24"/>
    </row>
    <row r="137" spans="11:26" ht="28.2" customHeight="1" x14ac:dyDescent="0.3">
      <c r="K137" s="1">
        <v>104.5</v>
      </c>
      <c r="L137" s="1">
        <v>101</v>
      </c>
      <c r="R137" s="24">
        <v>62</v>
      </c>
      <c r="S137" s="24">
        <v>95.840804144610885</v>
      </c>
      <c r="T137" s="24">
        <v>5.6591958553891146</v>
      </c>
      <c r="U137" s="24">
        <v>1.7290077013768876</v>
      </c>
      <c r="V137" s="24"/>
      <c r="W137" s="24">
        <v>51.25</v>
      </c>
      <c r="X137" s="24">
        <v>94</v>
      </c>
      <c r="Y137" s="24"/>
      <c r="Z137" s="24"/>
    </row>
    <row r="138" spans="11:26" ht="28.2" customHeight="1" x14ac:dyDescent="0.3">
      <c r="K138" s="1">
        <v>95.5</v>
      </c>
      <c r="L138" s="1">
        <v>97.5</v>
      </c>
      <c r="R138" s="24">
        <v>63</v>
      </c>
      <c r="S138" s="24">
        <v>93.321432593760562</v>
      </c>
      <c r="T138" s="24">
        <v>-1.3214325937605622</v>
      </c>
      <c r="U138" s="24">
        <v>-0.40372646394394002</v>
      </c>
      <c r="V138" s="24"/>
      <c r="W138" s="24">
        <v>52.083333333333336</v>
      </c>
      <c r="X138" s="24">
        <v>94</v>
      </c>
      <c r="Y138" s="24"/>
      <c r="Z138" s="24"/>
    </row>
    <row r="139" spans="11:26" ht="28.2" customHeight="1" x14ac:dyDescent="0.3">
      <c r="K139" s="1">
        <v>92.5</v>
      </c>
      <c r="L139" s="1">
        <v>93.5</v>
      </c>
      <c r="R139" s="24">
        <v>64</v>
      </c>
      <c r="S139" s="24">
        <v>96.400664489244292</v>
      </c>
      <c r="T139" s="24">
        <v>1.0993355107557079</v>
      </c>
      <c r="U139" s="24">
        <v>0.33587096348391371</v>
      </c>
      <c r="V139" s="24"/>
      <c r="W139" s="24">
        <v>52.916666666666664</v>
      </c>
      <c r="X139" s="24">
        <v>94.5</v>
      </c>
      <c r="Y139" s="24"/>
      <c r="Z139" s="24"/>
    </row>
    <row r="140" spans="11:26" ht="28.2" customHeight="1" x14ac:dyDescent="0.3">
      <c r="K140" s="1">
        <v>102.5</v>
      </c>
      <c r="L140" s="1">
        <v>93.5</v>
      </c>
      <c r="R140" s="24">
        <v>65</v>
      </c>
      <c r="S140" s="24">
        <v>93.321432593760562</v>
      </c>
      <c r="T140" s="24">
        <v>-1.3214325937605622</v>
      </c>
      <c r="U140" s="24">
        <v>-0.40372646394394002</v>
      </c>
      <c r="V140" s="24"/>
      <c r="W140" s="24">
        <v>53.75</v>
      </c>
      <c r="X140" s="24">
        <v>94.5</v>
      </c>
      <c r="Y140" s="24"/>
      <c r="Z140" s="24"/>
    </row>
    <row r="141" spans="11:26" ht="28.2" customHeight="1" x14ac:dyDescent="0.3">
      <c r="K141" s="1">
        <v>102</v>
      </c>
      <c r="L141" s="1">
        <v>93.5</v>
      </c>
      <c r="R141" s="24">
        <v>66</v>
      </c>
      <c r="S141" s="24">
        <v>93.321432593760562</v>
      </c>
      <c r="T141" s="24">
        <v>0.17856740623943779</v>
      </c>
      <c r="U141" s="24">
        <v>5.4556235283653137E-2</v>
      </c>
      <c r="V141" s="24"/>
      <c r="W141" s="24">
        <v>54.583333333333336</v>
      </c>
      <c r="X141" s="24">
        <v>94.5</v>
      </c>
      <c r="Y141" s="24"/>
      <c r="Z141" s="24"/>
    </row>
    <row r="142" spans="11:26" ht="28.2" customHeight="1" x14ac:dyDescent="0.3">
      <c r="K142" s="1">
        <v>91</v>
      </c>
      <c r="L142" s="1">
        <v>90.5</v>
      </c>
      <c r="R142" s="24">
        <v>67</v>
      </c>
      <c r="S142" s="24">
        <v>94.441153283027376</v>
      </c>
      <c r="T142" s="24">
        <v>-4.9411532830273757</v>
      </c>
      <c r="U142" s="24">
        <v>-1.5096300425620461</v>
      </c>
      <c r="V142" s="24"/>
      <c r="W142" s="24">
        <v>55.416666666666664</v>
      </c>
      <c r="X142" s="24">
        <v>94.5</v>
      </c>
      <c r="Y142" s="24"/>
      <c r="Z142" s="24"/>
    </row>
    <row r="143" spans="11:26" ht="28.2" customHeight="1" x14ac:dyDescent="0.3">
      <c r="K143" s="1">
        <v>95.5</v>
      </c>
      <c r="L143" s="1">
        <v>92</v>
      </c>
      <c r="R143" s="24">
        <v>68</v>
      </c>
      <c r="S143" s="24">
        <v>94.161223110710665</v>
      </c>
      <c r="T143" s="24">
        <v>6.3387768892893348</v>
      </c>
      <c r="U143" s="24">
        <v>1.9366345217500018</v>
      </c>
      <c r="V143" s="24"/>
      <c r="W143" s="24">
        <v>56.25</v>
      </c>
      <c r="X143" s="24">
        <v>95</v>
      </c>
      <c r="Y143" s="24"/>
      <c r="Z143" s="24"/>
    </row>
    <row r="144" spans="11:26" ht="28.2" customHeight="1" x14ac:dyDescent="0.3">
      <c r="K144" s="1">
        <v>98.5</v>
      </c>
      <c r="L144" s="1">
        <v>89.5</v>
      </c>
      <c r="R144" s="24">
        <v>69</v>
      </c>
      <c r="S144" s="24">
        <v>93.041502421443852</v>
      </c>
      <c r="T144" s="24">
        <v>-4.0415024214438517</v>
      </c>
      <c r="U144" s="24">
        <v>-1.2347670924227614</v>
      </c>
      <c r="V144" s="24"/>
      <c r="W144" s="24">
        <v>57.083333333333336</v>
      </c>
      <c r="X144" s="24">
        <v>95</v>
      </c>
      <c r="Y144" s="24"/>
      <c r="Z144" s="24"/>
    </row>
    <row r="145" spans="11:26" ht="28.2" customHeight="1" x14ac:dyDescent="0.3">
      <c r="K145" s="1">
        <v>100</v>
      </c>
      <c r="L145" s="1">
        <v>87.5</v>
      </c>
      <c r="R145" s="24">
        <v>70</v>
      </c>
      <c r="S145" s="24">
        <v>92.201711904493749</v>
      </c>
      <c r="T145" s="24">
        <v>3.7982880955062512</v>
      </c>
      <c r="U145" s="24">
        <v>1.1604598139017592</v>
      </c>
      <c r="V145" s="24"/>
      <c r="W145" s="24">
        <v>57.916666666666664</v>
      </c>
      <c r="X145" s="24">
        <v>95</v>
      </c>
      <c r="Y145" s="24"/>
      <c r="Z145" s="24"/>
    </row>
    <row r="146" spans="11:26" ht="28.2" customHeight="1" x14ac:dyDescent="0.3">
      <c r="K146" s="1">
        <v>91.5</v>
      </c>
      <c r="L146" s="1">
        <v>87.5</v>
      </c>
      <c r="R146" s="24">
        <v>71</v>
      </c>
      <c r="S146" s="24">
        <v>93.881292938393969</v>
      </c>
      <c r="T146" s="24">
        <v>1.1187070616060311</v>
      </c>
      <c r="U146" s="24">
        <v>0.34178939455852086</v>
      </c>
      <c r="V146" s="24"/>
      <c r="W146" s="24">
        <v>58.75</v>
      </c>
      <c r="X146" s="24">
        <v>95</v>
      </c>
      <c r="Y146" s="24"/>
      <c r="Z146" s="24"/>
    </row>
    <row r="147" spans="11:26" ht="28.2" customHeight="1" x14ac:dyDescent="0.3">
      <c r="K147" s="1">
        <v>96.5</v>
      </c>
      <c r="L147" s="1">
        <v>88.5</v>
      </c>
      <c r="R147" s="24">
        <v>72</v>
      </c>
      <c r="S147" s="24">
        <v>93.601362766077273</v>
      </c>
      <c r="T147" s="24">
        <v>2.3986372339227273</v>
      </c>
      <c r="U147" s="24">
        <v>0.73283596401994355</v>
      </c>
      <c r="V147" s="24"/>
      <c r="W147" s="24">
        <v>59.583333333333336</v>
      </c>
      <c r="X147" s="24">
        <v>95</v>
      </c>
      <c r="Y147" s="24"/>
      <c r="Z147" s="24"/>
    </row>
    <row r="148" spans="11:26" ht="28.2" customHeight="1" x14ac:dyDescent="0.3">
      <c r="K148" s="1">
        <v>102</v>
      </c>
      <c r="L148" s="1">
        <v>95.5</v>
      </c>
      <c r="R148" s="24">
        <v>73</v>
      </c>
      <c r="S148" s="24">
        <v>96.400664489244292</v>
      </c>
      <c r="T148" s="24">
        <v>-4.4006644892442921</v>
      </c>
      <c r="U148" s="24">
        <v>-1.3444989336839279</v>
      </c>
      <c r="V148" s="24"/>
      <c r="W148" s="24">
        <v>60.416666666666664</v>
      </c>
      <c r="X148" s="24">
        <v>95.5</v>
      </c>
      <c r="Y148" s="24"/>
      <c r="Z148" s="24"/>
    </row>
    <row r="149" spans="11:26" ht="28.2" customHeight="1" x14ac:dyDescent="0.3">
      <c r="K149" s="1">
        <v>96</v>
      </c>
      <c r="L149" s="1">
        <v>96.5</v>
      </c>
      <c r="R149" s="24">
        <v>74</v>
      </c>
      <c r="S149" s="24">
        <v>94.721083455344072</v>
      </c>
      <c r="T149" s="24">
        <v>-1.7210834553440719</v>
      </c>
      <c r="U149" s="24">
        <v>-0.52582851434068933</v>
      </c>
      <c r="V149" s="24"/>
      <c r="W149" s="24">
        <v>61.25</v>
      </c>
      <c r="X149" s="24">
        <v>95.5</v>
      </c>
      <c r="Y149" s="24"/>
      <c r="Z149" s="24"/>
    </row>
    <row r="150" spans="11:26" ht="28.2" customHeight="1" x14ac:dyDescent="0.3">
      <c r="K150" s="1">
        <v>96.5</v>
      </c>
      <c r="L150" s="1">
        <v>92.5</v>
      </c>
      <c r="R150" s="24">
        <v>75</v>
      </c>
      <c r="S150" s="24">
        <v>94.441153283027376</v>
      </c>
      <c r="T150" s="24">
        <v>-5.4411532830273757</v>
      </c>
      <c r="U150" s="24">
        <v>-1.6623909423045773</v>
      </c>
      <c r="V150" s="24"/>
      <c r="W150" s="24">
        <v>62.083333333333336</v>
      </c>
      <c r="X150" s="24">
        <v>95.5</v>
      </c>
      <c r="Y150" s="24"/>
      <c r="Z150" s="24"/>
    </row>
    <row r="151" spans="11:26" ht="28.2" customHeight="1" x14ac:dyDescent="0.3">
      <c r="K151" s="1">
        <v>96</v>
      </c>
      <c r="L151" s="1">
        <v>94.5</v>
      </c>
      <c r="R151" s="24">
        <v>76</v>
      </c>
      <c r="S151" s="24">
        <v>94.161223110710665</v>
      </c>
      <c r="T151" s="24">
        <v>0.8387768892893348</v>
      </c>
      <c r="U151" s="24">
        <v>0.25626462458216026</v>
      </c>
      <c r="V151" s="24"/>
      <c r="W151" s="24">
        <v>62.916666666666664</v>
      </c>
      <c r="X151" s="24">
        <v>95.5</v>
      </c>
      <c r="Y151" s="24"/>
      <c r="Z151" s="24"/>
    </row>
    <row r="152" spans="11:26" ht="28.2" customHeight="1" x14ac:dyDescent="0.3">
      <c r="K152" s="1">
        <v>91.5</v>
      </c>
      <c r="L152" s="1">
        <v>93</v>
      </c>
      <c r="R152" s="24">
        <v>77</v>
      </c>
      <c r="S152" s="24">
        <v>93.601362766077273</v>
      </c>
      <c r="T152" s="24">
        <v>-0.60136276607727268</v>
      </c>
      <c r="U152" s="24">
        <v>-0.18372943443524281</v>
      </c>
      <c r="V152" s="24"/>
      <c r="W152" s="24">
        <v>63.75</v>
      </c>
      <c r="X152" s="24">
        <v>95.5</v>
      </c>
      <c r="Y152" s="24"/>
      <c r="Z152" s="24"/>
    </row>
    <row r="153" spans="11:26" ht="28.2" customHeight="1" x14ac:dyDescent="0.3">
      <c r="K153" s="1">
        <v>95</v>
      </c>
      <c r="L153" s="1">
        <v>89</v>
      </c>
      <c r="R153" s="24">
        <v>78</v>
      </c>
      <c r="S153" s="24">
        <v>96.400664489244292</v>
      </c>
      <c r="T153" s="24">
        <v>-1.4006644892442921</v>
      </c>
      <c r="U153" s="24">
        <v>-0.42793353522874156</v>
      </c>
      <c r="V153" s="24"/>
      <c r="W153" s="24">
        <v>64.583333333333343</v>
      </c>
      <c r="X153" s="24">
        <v>95.5</v>
      </c>
      <c r="Y153" s="24"/>
      <c r="Z153" s="24"/>
    </row>
    <row r="154" spans="11:26" ht="28.2" customHeight="1" x14ac:dyDescent="0.3">
      <c r="K154" s="1">
        <v>101</v>
      </c>
      <c r="L154" s="1">
        <v>90.5</v>
      </c>
      <c r="R154" s="24">
        <v>79</v>
      </c>
      <c r="S154" s="24">
        <v>95.840804144610885</v>
      </c>
      <c r="T154" s="24">
        <v>-2.3408041446108854</v>
      </c>
      <c r="U154" s="24">
        <v>-0.71516669450360926</v>
      </c>
      <c r="V154" s="24"/>
      <c r="W154" s="24">
        <v>65.416666666666671</v>
      </c>
      <c r="X154" s="24">
        <v>96</v>
      </c>
      <c r="Y154" s="24"/>
      <c r="Z154" s="24"/>
    </row>
    <row r="155" spans="11:26" ht="28.2" customHeight="1" x14ac:dyDescent="0.3">
      <c r="K155" s="1">
        <v>90</v>
      </c>
      <c r="L155" s="1">
        <v>92</v>
      </c>
      <c r="R155" s="24">
        <v>80</v>
      </c>
      <c r="S155" s="24">
        <v>95.560873972294189</v>
      </c>
      <c r="T155" s="24">
        <v>-1.5608739722941891</v>
      </c>
      <c r="U155" s="24">
        <v>-0.47688102478471761</v>
      </c>
      <c r="V155" s="24"/>
      <c r="W155" s="24">
        <v>66.250000000000014</v>
      </c>
      <c r="X155" s="24">
        <v>96</v>
      </c>
      <c r="Y155" s="24"/>
      <c r="Z155" s="24"/>
    </row>
    <row r="156" spans="11:26" ht="28.2" customHeight="1" x14ac:dyDescent="0.3">
      <c r="K156" s="1">
        <v>95</v>
      </c>
      <c r="L156" s="1">
        <v>92</v>
      </c>
      <c r="R156" s="24">
        <v>81</v>
      </c>
      <c r="S156" s="24">
        <v>91.641851559860356</v>
      </c>
      <c r="T156" s="24">
        <v>1.3581484401396438</v>
      </c>
      <c r="U156" s="24">
        <v>0.41494395539929413</v>
      </c>
      <c r="V156" s="24"/>
      <c r="W156" s="24">
        <v>67.083333333333343</v>
      </c>
      <c r="X156" s="24">
        <v>96</v>
      </c>
      <c r="Y156" s="24"/>
      <c r="Z156" s="24"/>
    </row>
    <row r="157" spans="11:26" ht="28.2" customHeight="1" x14ac:dyDescent="0.3">
      <c r="K157" s="1">
        <v>94.5</v>
      </c>
      <c r="L157" s="1">
        <v>91</v>
      </c>
      <c r="R157" s="24">
        <v>82</v>
      </c>
      <c r="S157" s="24">
        <v>92.761572249127155</v>
      </c>
      <c r="T157" s="24">
        <v>-0.76157224912715549</v>
      </c>
      <c r="U157" s="24">
        <v>-0.23267692399121456</v>
      </c>
      <c r="V157" s="24"/>
      <c r="W157" s="24">
        <v>67.916666666666671</v>
      </c>
      <c r="X157" s="24">
        <v>96</v>
      </c>
      <c r="Y157" s="24"/>
      <c r="Z157" s="24"/>
    </row>
    <row r="158" spans="11:26" ht="28.2" customHeight="1" x14ac:dyDescent="0.3">
      <c r="K158" s="1">
        <v>100</v>
      </c>
      <c r="L158" s="1">
        <v>88</v>
      </c>
      <c r="R158" s="24">
        <v>83</v>
      </c>
      <c r="S158" s="24">
        <v>92.761572249127155</v>
      </c>
      <c r="T158" s="24">
        <v>6.7384277508728445</v>
      </c>
      <c r="U158" s="24">
        <v>2.0587365721467514</v>
      </c>
      <c r="V158" s="24"/>
      <c r="W158" s="24">
        <v>68.750000000000014</v>
      </c>
      <c r="X158" s="24">
        <v>96</v>
      </c>
      <c r="Y158" s="24"/>
      <c r="Z158" s="24"/>
    </row>
    <row r="159" spans="11:26" ht="28.2" customHeight="1" x14ac:dyDescent="0.3">
      <c r="K159" s="1">
        <v>97</v>
      </c>
      <c r="L159" s="1">
        <v>92</v>
      </c>
      <c r="R159" s="24">
        <v>84</v>
      </c>
      <c r="S159" s="24">
        <v>91.921781732177038</v>
      </c>
      <c r="T159" s="24">
        <v>1.5782182678229617</v>
      </c>
      <c r="U159" s="24">
        <v>0.48218008516546895</v>
      </c>
      <c r="V159" s="24"/>
      <c r="W159" s="24">
        <v>69.583333333333343</v>
      </c>
      <c r="X159" s="24">
        <v>96.5</v>
      </c>
      <c r="Y159" s="24"/>
      <c r="Z159" s="24"/>
    </row>
    <row r="160" spans="11:26" ht="28.2" customHeight="1" x14ac:dyDescent="0.3">
      <c r="K160" s="1">
        <v>96</v>
      </c>
      <c r="L160" s="1">
        <v>94</v>
      </c>
      <c r="R160" s="24">
        <v>85</v>
      </c>
      <c r="S160" s="24">
        <v>96.680594661561003</v>
      </c>
      <c r="T160" s="24">
        <v>4.3194053384389974</v>
      </c>
      <c r="U160" s="24">
        <v>1.3196724917052662</v>
      </c>
      <c r="V160" s="24"/>
      <c r="W160" s="24">
        <v>70.416666666666671</v>
      </c>
      <c r="X160" s="24">
        <v>96.5</v>
      </c>
      <c r="Y160" s="24"/>
      <c r="Z160" s="24"/>
    </row>
    <row r="161" spans="11:26" ht="28.2" customHeight="1" x14ac:dyDescent="0.3">
      <c r="K161" s="1">
        <v>94</v>
      </c>
      <c r="L161" s="1">
        <v>93</v>
      </c>
      <c r="R161" s="24">
        <v>86</v>
      </c>
      <c r="S161" s="24">
        <v>91.641851559860356</v>
      </c>
      <c r="T161" s="24">
        <v>5.8581484401396438</v>
      </c>
      <c r="U161" s="24">
        <v>1.7897920530820737</v>
      </c>
      <c r="V161" s="24"/>
      <c r="W161" s="24">
        <v>71.250000000000014</v>
      </c>
      <c r="X161" s="24">
        <v>96.5</v>
      </c>
      <c r="Y161" s="24"/>
      <c r="Z161" s="24"/>
    </row>
    <row r="162" spans="11:26" ht="28.2" customHeight="1" x14ac:dyDescent="0.3">
      <c r="K162" s="1">
        <v>91</v>
      </c>
      <c r="L162" s="1">
        <v>90</v>
      </c>
      <c r="R162" s="24">
        <v>87</v>
      </c>
      <c r="S162" s="24">
        <v>89.962270525960122</v>
      </c>
      <c r="T162" s="24">
        <v>3.5377294740398781</v>
      </c>
      <c r="U162" s="24">
        <v>1.0808534750000058</v>
      </c>
      <c r="V162" s="24"/>
      <c r="W162" s="24">
        <v>72.083333333333343</v>
      </c>
      <c r="X162" s="24">
        <v>96.5</v>
      </c>
      <c r="Y162" s="24"/>
      <c r="Z162" s="24"/>
    </row>
    <row r="163" spans="11:26" ht="28.2" customHeight="1" x14ac:dyDescent="0.3">
      <c r="K163" s="1">
        <v>95</v>
      </c>
      <c r="L163" s="1">
        <v>84</v>
      </c>
      <c r="R163" s="24">
        <v>88</v>
      </c>
      <c r="S163" s="24">
        <v>95.560873972294189</v>
      </c>
      <c r="T163" s="24">
        <v>-2.0608739722941891</v>
      </c>
      <c r="U163" s="24">
        <v>-0.62964192452724865</v>
      </c>
      <c r="V163" s="24"/>
      <c r="W163" s="24">
        <v>72.916666666666671</v>
      </c>
      <c r="X163" s="24">
        <v>97</v>
      </c>
      <c r="Y163" s="24"/>
      <c r="Z163" s="24"/>
    </row>
    <row r="164" spans="11:26" ht="28.2" customHeight="1" x14ac:dyDescent="0.3">
      <c r="K164" s="1">
        <v>96.5</v>
      </c>
      <c r="L164" s="1">
        <v>92</v>
      </c>
      <c r="R164" s="24">
        <v>89</v>
      </c>
      <c r="S164" s="24">
        <v>95.280943799977479</v>
      </c>
      <c r="T164" s="24">
        <v>-1.7809437999774786</v>
      </c>
      <c r="U164" s="24">
        <v>-0.54411715455088383</v>
      </c>
      <c r="V164" s="24"/>
      <c r="W164" s="24">
        <v>73.750000000000014</v>
      </c>
      <c r="X164" s="24">
        <v>97</v>
      </c>
      <c r="Y164" s="24"/>
      <c r="Z164" s="24"/>
    </row>
    <row r="165" spans="11:26" ht="28.2" customHeight="1" x14ac:dyDescent="0.3">
      <c r="K165" s="1">
        <v>92</v>
      </c>
      <c r="L165" s="1">
        <v>85.5</v>
      </c>
      <c r="R165" s="24">
        <v>90</v>
      </c>
      <c r="S165" s="24">
        <v>89.122480009010019</v>
      </c>
      <c r="T165" s="24">
        <v>1.3775199909899811</v>
      </c>
      <c r="U165" s="24">
        <v>0.42086238647390556</v>
      </c>
      <c r="V165" s="24"/>
      <c r="W165" s="24">
        <v>74.583333333333343</v>
      </c>
      <c r="X165" s="24">
        <v>97</v>
      </c>
      <c r="Y165" s="24"/>
      <c r="Z165" s="24"/>
    </row>
    <row r="166" spans="11:26" ht="28.2" customHeight="1" x14ac:dyDescent="0.3">
      <c r="K166" s="1">
        <v>89</v>
      </c>
      <c r="L166" s="1">
        <v>89</v>
      </c>
      <c r="R166" s="24">
        <v>91</v>
      </c>
      <c r="S166" s="24">
        <v>91.641851559860356</v>
      </c>
      <c r="T166" s="24">
        <v>0.35814844013964375</v>
      </c>
      <c r="U166" s="24">
        <v>0.109422155914232</v>
      </c>
      <c r="V166" s="24"/>
      <c r="W166" s="24">
        <v>75.416666666666671</v>
      </c>
      <c r="X166" s="24">
        <v>97.5</v>
      </c>
      <c r="Y166" s="24"/>
      <c r="Z166" s="24"/>
    </row>
    <row r="167" spans="11:26" ht="28.2" customHeight="1" x14ac:dyDescent="0.3">
      <c r="K167" s="1">
        <v>96</v>
      </c>
      <c r="L167" s="1">
        <v>93</v>
      </c>
      <c r="R167" s="24">
        <v>92</v>
      </c>
      <c r="S167" s="24">
        <v>93.321432593760562</v>
      </c>
      <c r="T167" s="24">
        <v>-3.8214325937605622</v>
      </c>
      <c r="U167" s="24">
        <v>-1.1675309626565953</v>
      </c>
      <c r="V167" s="24"/>
      <c r="W167" s="24">
        <v>76.250000000000014</v>
      </c>
      <c r="X167" s="24">
        <v>97.5</v>
      </c>
      <c r="Y167" s="24"/>
      <c r="Z167" s="24"/>
    </row>
    <row r="168" spans="11:26" ht="28.2" customHeight="1" x14ac:dyDescent="0.3">
      <c r="K168" s="1">
        <v>91.5</v>
      </c>
      <c r="L168" s="1">
        <v>88.5</v>
      </c>
      <c r="R168" s="24">
        <v>93</v>
      </c>
      <c r="S168" s="24">
        <v>94.161223110710665</v>
      </c>
      <c r="T168" s="24">
        <v>-6.6612231107106652</v>
      </c>
      <c r="U168" s="24">
        <v>-2.0351488715558057</v>
      </c>
      <c r="V168" s="24"/>
      <c r="W168" s="24">
        <v>77.083333333333343</v>
      </c>
      <c r="X168" s="24">
        <v>97.5</v>
      </c>
      <c r="Y168" s="24"/>
      <c r="Z168" s="24"/>
    </row>
    <row r="169" spans="11:26" ht="28.2" customHeight="1" x14ac:dyDescent="0.3">
      <c r="K169" s="1">
        <v>94.5</v>
      </c>
      <c r="L169" s="1">
        <v>93</v>
      </c>
      <c r="R169" s="24">
        <v>94</v>
      </c>
      <c r="S169" s="24">
        <v>89.402410181326729</v>
      </c>
      <c r="T169" s="24">
        <v>-1.9024101813267293</v>
      </c>
      <c r="U169" s="24">
        <v>-0.58122778195764568</v>
      </c>
      <c r="V169" s="24"/>
      <c r="W169" s="24">
        <v>77.916666666666671</v>
      </c>
      <c r="X169" s="24">
        <v>98.5</v>
      </c>
      <c r="Y169" s="24"/>
      <c r="Z169" s="24"/>
    </row>
    <row r="170" spans="11:26" ht="28.2" customHeight="1" x14ac:dyDescent="0.3">
      <c r="K170" s="1">
        <v>92</v>
      </c>
      <c r="L170" s="1">
        <v>83</v>
      </c>
      <c r="R170" s="24">
        <v>95</v>
      </c>
      <c r="S170" s="24">
        <v>92.201711904493749</v>
      </c>
      <c r="T170" s="24">
        <v>-3.7017119044937488</v>
      </c>
      <c r="U170" s="24">
        <v>-1.1309536822362065</v>
      </c>
      <c r="V170" s="24"/>
      <c r="W170" s="24">
        <v>78.750000000000014</v>
      </c>
      <c r="X170" s="24">
        <v>98.5</v>
      </c>
      <c r="Y170" s="24"/>
      <c r="Z170" s="24"/>
    </row>
    <row r="171" spans="11:26" ht="28.2" customHeight="1" x14ac:dyDescent="0.3">
      <c r="K171" s="1">
        <v>93</v>
      </c>
      <c r="L171" s="1">
        <v>89</v>
      </c>
      <c r="R171" s="24">
        <v>96</v>
      </c>
      <c r="S171" s="24">
        <v>95.280943799977479</v>
      </c>
      <c r="T171" s="24">
        <v>0.21905620002252135</v>
      </c>
      <c r="U171" s="24">
        <v>6.6926444419240422E-2</v>
      </c>
      <c r="V171" s="24"/>
      <c r="W171" s="24">
        <v>79.583333333333343</v>
      </c>
      <c r="X171" s="24">
        <v>99</v>
      </c>
      <c r="Y171" s="24"/>
      <c r="Z171" s="24"/>
    </row>
    <row r="172" spans="11:26" ht="28.2" customHeight="1" x14ac:dyDescent="0.3">
      <c r="K172" s="1">
        <v>92.5</v>
      </c>
      <c r="L172" s="1">
        <v>90</v>
      </c>
      <c r="R172" s="24">
        <v>97</v>
      </c>
      <c r="S172" s="24">
        <v>91.921781732177038</v>
      </c>
      <c r="T172" s="24">
        <v>4.5782182678229617</v>
      </c>
      <c r="U172" s="24">
        <v>1.3987454836206552</v>
      </c>
      <c r="V172" s="24"/>
      <c r="W172" s="24">
        <v>80.416666666666671</v>
      </c>
      <c r="X172" s="24">
        <v>99</v>
      </c>
      <c r="Y172" s="24"/>
      <c r="Z172" s="24"/>
    </row>
    <row r="173" spans="11:26" ht="28.2" customHeight="1" x14ac:dyDescent="0.3">
      <c r="R173" s="24">
        <v>98</v>
      </c>
      <c r="S173" s="24">
        <v>92.201711904493749</v>
      </c>
      <c r="T173" s="24">
        <v>0.29828809550625124</v>
      </c>
      <c r="U173" s="24">
        <v>9.1133515704041948E-2</v>
      </c>
      <c r="V173" s="24"/>
      <c r="W173" s="24">
        <v>81.250000000000014</v>
      </c>
      <c r="X173" s="24">
        <v>99</v>
      </c>
      <c r="Y173" s="24"/>
      <c r="Z173" s="24"/>
    </row>
    <row r="174" spans="11:26" ht="28.2" customHeight="1" x14ac:dyDescent="0.3">
      <c r="R174" s="24">
        <v>99</v>
      </c>
      <c r="S174" s="24">
        <v>91.921781732177038</v>
      </c>
      <c r="T174" s="24">
        <v>2.5782182678229617</v>
      </c>
      <c r="U174" s="24">
        <v>0.78770188465053104</v>
      </c>
      <c r="V174" s="24"/>
      <c r="W174" s="24">
        <v>82.083333333333343</v>
      </c>
      <c r="X174" s="24">
        <v>99</v>
      </c>
      <c r="Y174" s="24"/>
      <c r="Z174" s="24"/>
    </row>
    <row r="175" spans="11:26" ht="28.2" customHeight="1" x14ac:dyDescent="0.3">
      <c r="R175" s="24">
        <v>100</v>
      </c>
      <c r="S175" s="24">
        <v>89.402410181326729</v>
      </c>
      <c r="T175" s="24">
        <v>3.5975898186732707</v>
      </c>
      <c r="U175" s="24">
        <v>1.0991421152101959</v>
      </c>
      <c r="V175" s="24"/>
      <c r="W175" s="24">
        <v>82.916666666666671</v>
      </c>
      <c r="X175" s="24">
        <v>99</v>
      </c>
      <c r="Y175" s="24"/>
      <c r="Z175" s="24"/>
    </row>
    <row r="176" spans="11:26" ht="28.2" customHeight="1" x14ac:dyDescent="0.3">
      <c r="R176" s="24">
        <v>101</v>
      </c>
      <c r="S176" s="24">
        <v>91.361921387543646</v>
      </c>
      <c r="T176" s="24">
        <v>-2.3619213875436458</v>
      </c>
      <c r="U176" s="24">
        <v>-0.72161847256458944</v>
      </c>
      <c r="V176" s="24"/>
      <c r="W176" s="24">
        <v>83.750000000000014</v>
      </c>
      <c r="X176" s="24">
        <v>99.5</v>
      </c>
      <c r="Y176" s="24"/>
      <c r="Z176" s="24"/>
    </row>
    <row r="177" spans="18:26" ht="28.2" customHeight="1" x14ac:dyDescent="0.3">
      <c r="R177" s="24">
        <v>102</v>
      </c>
      <c r="S177" s="24">
        <v>94.721083455344072</v>
      </c>
      <c r="T177" s="24">
        <v>-4.2210834553440719</v>
      </c>
      <c r="U177" s="24">
        <v>-1.2896330130533447</v>
      </c>
      <c r="V177" s="24"/>
      <c r="W177" s="24">
        <v>84.583333333333343</v>
      </c>
      <c r="X177" s="24">
        <v>99.5</v>
      </c>
      <c r="Y177" s="24"/>
      <c r="Z177" s="24"/>
    </row>
    <row r="178" spans="18:26" ht="28.2" customHeight="1" x14ac:dyDescent="0.3">
      <c r="R178" s="24">
        <v>103</v>
      </c>
      <c r="S178" s="24">
        <v>88.562619664376626</v>
      </c>
      <c r="T178" s="24">
        <v>3.4373803356233736</v>
      </c>
      <c r="U178" s="24">
        <v>1.0501946256542198</v>
      </c>
      <c r="V178" s="24"/>
      <c r="W178" s="24">
        <v>85.416666666666671</v>
      </c>
      <c r="X178" s="24">
        <v>99.5</v>
      </c>
      <c r="Y178" s="24"/>
      <c r="Z178" s="24"/>
    </row>
    <row r="179" spans="18:26" ht="28.2" customHeight="1" x14ac:dyDescent="0.3">
      <c r="R179" s="24">
        <v>104</v>
      </c>
      <c r="S179" s="24">
        <v>91.361921387543646</v>
      </c>
      <c r="T179" s="24">
        <v>0.63807861245635422</v>
      </c>
      <c r="U179" s="24">
        <v>0.19494692589059689</v>
      </c>
      <c r="V179" s="24"/>
      <c r="W179" s="24">
        <v>86.250000000000014</v>
      </c>
      <c r="X179" s="24">
        <v>99.5</v>
      </c>
      <c r="Y179" s="24"/>
      <c r="Z179" s="24"/>
    </row>
    <row r="180" spans="18:26" ht="28.2" customHeight="1" x14ac:dyDescent="0.3">
      <c r="R180" s="24">
        <v>105</v>
      </c>
      <c r="S180" s="24">
        <v>91.081991215226935</v>
      </c>
      <c r="T180" s="24">
        <v>-8.199121522693531E-2</v>
      </c>
      <c r="U180" s="24">
        <v>-2.5050103618100301E-2</v>
      </c>
      <c r="V180" s="24"/>
      <c r="W180" s="24">
        <v>87.083333333333343</v>
      </c>
      <c r="X180" s="24">
        <v>99.5</v>
      </c>
      <c r="Y180" s="24"/>
      <c r="Z180" s="24"/>
    </row>
    <row r="181" spans="18:26" ht="28.2" customHeight="1" x14ac:dyDescent="0.3">
      <c r="R181" s="24">
        <v>106</v>
      </c>
      <c r="S181" s="24">
        <v>94.161223110710665</v>
      </c>
      <c r="T181" s="24">
        <v>-6.1612231107106652</v>
      </c>
      <c r="U181" s="24">
        <v>-1.8823879718132746</v>
      </c>
      <c r="V181" s="24"/>
      <c r="W181" s="24">
        <v>87.916666666666671</v>
      </c>
      <c r="X181" s="24">
        <v>100</v>
      </c>
      <c r="Y181" s="24"/>
      <c r="Z181" s="24"/>
    </row>
    <row r="182" spans="18:26" ht="28.2" customHeight="1" x14ac:dyDescent="0.3">
      <c r="R182" s="24">
        <v>107</v>
      </c>
      <c r="S182" s="24">
        <v>92.481642076810459</v>
      </c>
      <c r="T182" s="24">
        <v>-0.48164207681045923</v>
      </c>
      <c r="U182" s="24">
        <v>-0.14715215401485401</v>
      </c>
      <c r="V182" s="24"/>
      <c r="W182" s="24">
        <v>88.750000000000014</v>
      </c>
      <c r="X182" s="24">
        <v>100</v>
      </c>
      <c r="Y182" s="24"/>
      <c r="Z182" s="24"/>
    </row>
    <row r="183" spans="18:26" ht="28.2" customHeight="1" x14ac:dyDescent="0.3">
      <c r="R183" s="24">
        <v>108</v>
      </c>
      <c r="S183" s="24">
        <v>91.921781732177038</v>
      </c>
      <c r="T183" s="24">
        <v>2.0782182678229617</v>
      </c>
      <c r="U183" s="24">
        <v>0.63494098490799999</v>
      </c>
      <c r="V183" s="24"/>
      <c r="W183" s="24">
        <v>89.583333333333343</v>
      </c>
      <c r="X183" s="24">
        <v>100.5</v>
      </c>
      <c r="Y183" s="24"/>
      <c r="Z183" s="24"/>
    </row>
    <row r="184" spans="18:26" ht="28.2" customHeight="1" x14ac:dyDescent="0.3">
      <c r="R184" s="24">
        <v>109</v>
      </c>
      <c r="S184" s="24">
        <v>90.802061042910239</v>
      </c>
      <c r="T184" s="24">
        <v>2.1979389570897609</v>
      </c>
      <c r="U184" s="24">
        <v>0.67151826532838443</v>
      </c>
      <c r="V184" s="24"/>
      <c r="W184" s="24">
        <v>90.416666666666671</v>
      </c>
      <c r="X184" s="24">
        <v>100.5</v>
      </c>
      <c r="Y184" s="24"/>
      <c r="Z184" s="24"/>
    </row>
    <row r="185" spans="18:26" ht="28.2" customHeight="1" x14ac:dyDescent="0.3">
      <c r="R185" s="24">
        <v>110</v>
      </c>
      <c r="S185" s="24">
        <v>89.122480009010019</v>
      </c>
      <c r="T185" s="24">
        <v>0.87751999098998112</v>
      </c>
      <c r="U185" s="24">
        <v>0.26810148673137452</v>
      </c>
      <c r="V185" s="24"/>
      <c r="W185" s="24">
        <v>91.250000000000014</v>
      </c>
      <c r="X185" s="24">
        <v>100.5</v>
      </c>
      <c r="Y185" s="24"/>
      <c r="Z185" s="24"/>
    </row>
    <row r="186" spans="18:26" ht="28.2" customHeight="1" x14ac:dyDescent="0.3">
      <c r="R186" s="24">
        <v>111</v>
      </c>
      <c r="S186" s="24">
        <v>91.361921387543646</v>
      </c>
      <c r="T186" s="24">
        <v>-7.3619213875436458</v>
      </c>
      <c r="U186" s="24">
        <v>-2.2492274699898998</v>
      </c>
      <c r="V186" s="24"/>
      <c r="W186" s="24">
        <v>92.083333333333343</v>
      </c>
      <c r="X186" s="24">
        <v>100.5</v>
      </c>
      <c r="Y186" s="24"/>
      <c r="Z186" s="24"/>
    </row>
    <row r="187" spans="18:26" ht="28.2" customHeight="1" x14ac:dyDescent="0.3">
      <c r="R187" s="24">
        <v>112</v>
      </c>
      <c r="S187" s="24">
        <v>92.201711904493749</v>
      </c>
      <c r="T187" s="24">
        <v>-0.20171190449374876</v>
      </c>
      <c r="U187" s="24">
        <v>-6.1627384038489108E-2</v>
      </c>
      <c r="V187" s="24"/>
      <c r="W187" s="24">
        <v>92.916666666666671</v>
      </c>
      <c r="X187" s="24">
        <v>100.5</v>
      </c>
      <c r="Y187" s="24"/>
      <c r="Z187" s="24"/>
    </row>
    <row r="188" spans="18:26" ht="28.2" customHeight="1" x14ac:dyDescent="0.3">
      <c r="R188" s="24">
        <v>113</v>
      </c>
      <c r="S188" s="24">
        <v>89.682340353643426</v>
      </c>
      <c r="T188" s="24">
        <v>-4.1823403536434256</v>
      </c>
      <c r="U188" s="24">
        <v>-1.2777961509041305</v>
      </c>
      <c r="V188" s="24"/>
      <c r="W188" s="24">
        <v>93.750000000000014</v>
      </c>
      <c r="X188" s="24">
        <v>100.5</v>
      </c>
      <c r="Y188" s="24"/>
      <c r="Z188" s="24"/>
    </row>
    <row r="189" spans="18:26" ht="28.2" customHeight="1" x14ac:dyDescent="0.3">
      <c r="R189" s="24">
        <v>114</v>
      </c>
      <c r="S189" s="24">
        <v>88.002759319743205</v>
      </c>
      <c r="T189" s="24">
        <v>0.99724068025679458</v>
      </c>
      <c r="U189" s="24">
        <v>0.30467876715176334</v>
      </c>
      <c r="V189" s="24"/>
      <c r="W189" s="24">
        <v>94.583333333333343</v>
      </c>
      <c r="X189" s="24">
        <v>101</v>
      </c>
      <c r="Y189" s="24"/>
      <c r="Z189" s="24"/>
    </row>
    <row r="190" spans="18:26" ht="28.2" customHeight="1" x14ac:dyDescent="0.3">
      <c r="R190" s="24">
        <v>115</v>
      </c>
      <c r="S190" s="24">
        <v>91.921781732177038</v>
      </c>
      <c r="T190" s="24">
        <v>1.0782182678229617</v>
      </c>
      <c r="U190" s="24">
        <v>0.32941918542293791</v>
      </c>
      <c r="V190" s="24"/>
      <c r="W190" s="24">
        <v>95.416666666666671</v>
      </c>
      <c r="X190" s="24">
        <v>101</v>
      </c>
      <c r="Y190" s="24"/>
      <c r="Z190" s="24"/>
    </row>
    <row r="191" spans="18:26" ht="28.2" customHeight="1" x14ac:dyDescent="0.3">
      <c r="R191" s="24">
        <v>116</v>
      </c>
      <c r="S191" s="24">
        <v>89.402410181326729</v>
      </c>
      <c r="T191" s="24">
        <v>-0.90241018132672934</v>
      </c>
      <c r="U191" s="24">
        <v>-0.27570598247258354</v>
      </c>
      <c r="V191" s="24"/>
      <c r="W191" s="24">
        <v>96.250000000000014</v>
      </c>
      <c r="X191" s="24">
        <v>101.5</v>
      </c>
      <c r="Y191" s="24"/>
      <c r="Z191" s="24"/>
    </row>
    <row r="192" spans="18:26" ht="28.2" customHeight="1" x14ac:dyDescent="0.3">
      <c r="R192" s="24">
        <v>117</v>
      </c>
      <c r="S192" s="24">
        <v>91.081991215226935</v>
      </c>
      <c r="T192" s="24">
        <v>1.9180087847730647</v>
      </c>
      <c r="U192" s="24">
        <v>0.58599349535202394</v>
      </c>
      <c r="V192" s="24"/>
      <c r="W192" s="24">
        <v>97.083333333333343</v>
      </c>
      <c r="X192" s="24">
        <v>101.5</v>
      </c>
      <c r="Y192" s="24"/>
      <c r="Z192" s="24"/>
    </row>
    <row r="193" spans="11:26" ht="28.2" customHeight="1" x14ac:dyDescent="0.3">
      <c r="R193" s="24">
        <v>118</v>
      </c>
      <c r="S193" s="24">
        <v>89.682340353643426</v>
      </c>
      <c r="T193" s="24">
        <v>-6.6823403536434256</v>
      </c>
      <c r="U193" s="24">
        <v>-2.0416006496167856</v>
      </c>
      <c r="V193" s="24"/>
      <c r="W193" s="24">
        <v>97.916666666666671</v>
      </c>
      <c r="X193" s="24">
        <v>102</v>
      </c>
      <c r="Y193" s="24"/>
      <c r="Z193" s="24"/>
    </row>
    <row r="194" spans="11:26" ht="28.2" customHeight="1" x14ac:dyDescent="0.3">
      <c r="R194" s="24">
        <v>119</v>
      </c>
      <c r="S194" s="24">
        <v>90.242200698276832</v>
      </c>
      <c r="T194" s="24">
        <v>-1.2422006982768323</v>
      </c>
      <c r="U194" s="24">
        <v>-0.37951939265913848</v>
      </c>
      <c r="V194" s="24"/>
      <c r="W194" s="24">
        <v>98.750000000000014</v>
      </c>
      <c r="X194" s="24">
        <v>104.5</v>
      </c>
      <c r="Y194" s="24"/>
      <c r="Z194" s="24"/>
    </row>
    <row r="195" spans="11:26" ht="28.2" customHeight="1" thickBot="1" x14ac:dyDescent="0.35">
      <c r="R195" s="26">
        <v>120</v>
      </c>
      <c r="S195" s="26">
        <v>89.962270525960122</v>
      </c>
      <c r="T195" s="26">
        <v>3.7729474039878141E-2</v>
      </c>
      <c r="U195" s="26">
        <v>1.1527176802288505E-2</v>
      </c>
      <c r="V195" s="24"/>
      <c r="W195" s="26">
        <v>99.583333333333343</v>
      </c>
      <c r="X195" s="26">
        <v>108</v>
      </c>
      <c r="Y195" s="24"/>
      <c r="Z195" s="24"/>
    </row>
    <row r="197" spans="11:26" ht="28.2" customHeight="1" thickBot="1" x14ac:dyDescent="0.35"/>
    <row r="198" spans="11:26" ht="28.2" customHeight="1" x14ac:dyDescent="0.3">
      <c r="K198" s="19" t="s">
        <v>78</v>
      </c>
      <c r="L198" s="19" t="s">
        <v>81</v>
      </c>
      <c r="N198" s="5"/>
      <c r="O198" s="5" t="s">
        <v>78</v>
      </c>
      <c r="P198" s="5" t="s">
        <v>81</v>
      </c>
      <c r="R198" s="24" t="s">
        <v>92</v>
      </c>
      <c r="S198" s="24"/>
      <c r="T198" s="24"/>
      <c r="U198" s="24"/>
      <c r="V198" s="24"/>
      <c r="W198" s="24"/>
      <c r="X198" s="24"/>
      <c r="Y198" s="24"/>
      <c r="Z198" s="24"/>
    </row>
    <row r="199" spans="11:26" ht="28.2" customHeight="1" thickBot="1" x14ac:dyDescent="0.35">
      <c r="K199" s="2">
        <v>169</v>
      </c>
      <c r="L199" s="2">
        <v>151.5</v>
      </c>
      <c r="N199" s="4" t="s">
        <v>78</v>
      </c>
      <c r="O199" s="4">
        <v>1</v>
      </c>
      <c r="R199" s="24"/>
      <c r="S199" s="24"/>
      <c r="T199" s="24"/>
      <c r="U199" s="24"/>
      <c r="V199" s="24"/>
      <c r="W199" s="24"/>
      <c r="X199" s="24"/>
      <c r="Y199" s="24"/>
      <c r="Z199" s="24"/>
    </row>
    <row r="200" spans="11:26" ht="28.2" customHeight="1" thickBot="1" x14ac:dyDescent="0.35">
      <c r="K200" s="2">
        <v>161.5</v>
      </c>
      <c r="L200" s="2">
        <v>145.5</v>
      </c>
      <c r="N200" s="6" t="s">
        <v>81</v>
      </c>
      <c r="O200" s="6">
        <v>0.64503914967709775</v>
      </c>
      <c r="P200" s="6">
        <v>1</v>
      </c>
      <c r="R200" s="36" t="s">
        <v>93</v>
      </c>
      <c r="S200" s="36"/>
      <c r="T200" s="24"/>
      <c r="U200" s="24"/>
      <c r="V200" s="24"/>
      <c r="W200" s="24"/>
      <c r="X200" s="24"/>
      <c r="Y200" s="24"/>
      <c r="Z200" s="24"/>
    </row>
    <row r="201" spans="11:26" ht="28.2" customHeight="1" x14ac:dyDescent="0.3">
      <c r="K201" s="2">
        <v>156</v>
      </c>
      <c r="L201" s="2">
        <v>134.5</v>
      </c>
      <c r="R201" s="24" t="s">
        <v>94</v>
      </c>
      <c r="S201" s="24">
        <v>0.6450391496770973</v>
      </c>
      <c r="T201" s="24"/>
      <c r="U201" s="24"/>
      <c r="V201" s="24"/>
      <c r="W201" s="24"/>
      <c r="X201" s="24"/>
      <c r="Y201" s="24"/>
      <c r="Z201" s="24"/>
    </row>
    <row r="202" spans="11:26" ht="28.2" customHeight="1" x14ac:dyDescent="0.3">
      <c r="K202" s="2">
        <v>157.5</v>
      </c>
      <c r="L202" s="2">
        <v>134</v>
      </c>
      <c r="R202" s="24" t="s">
        <v>95</v>
      </c>
      <c r="S202" s="24">
        <v>0.41607550461615278</v>
      </c>
      <c r="T202" s="24"/>
      <c r="U202" s="24"/>
      <c r="V202" s="24"/>
      <c r="W202" s="24"/>
      <c r="X202" s="24"/>
      <c r="Y202" s="24"/>
      <c r="Z202" s="24"/>
    </row>
    <row r="203" spans="11:26" ht="28.2" customHeight="1" x14ac:dyDescent="0.3">
      <c r="K203" s="2">
        <v>159</v>
      </c>
      <c r="L203" s="2">
        <v>137</v>
      </c>
      <c r="R203" s="24" t="s">
        <v>96</v>
      </c>
      <c r="S203" s="24">
        <v>0.41112699194340835</v>
      </c>
      <c r="T203" s="24"/>
      <c r="U203" s="24"/>
      <c r="V203" s="24"/>
      <c r="W203" s="24"/>
      <c r="X203" s="24"/>
      <c r="Y203" s="24"/>
      <c r="Z203" s="24"/>
    </row>
    <row r="204" spans="11:26" ht="28.2" customHeight="1" x14ac:dyDescent="0.3">
      <c r="K204" s="2">
        <v>163.5</v>
      </c>
      <c r="L204" s="2">
        <v>140</v>
      </c>
      <c r="R204" s="24" t="s">
        <v>5</v>
      </c>
      <c r="S204" s="24">
        <v>4.8050507482706237</v>
      </c>
      <c r="T204" s="24"/>
      <c r="U204" s="24"/>
      <c r="V204" s="24"/>
      <c r="W204" s="24"/>
      <c r="X204" s="24"/>
      <c r="Y204" s="24"/>
      <c r="Z204" s="24"/>
    </row>
    <row r="205" spans="11:26" ht="28.2" customHeight="1" thickBot="1" x14ac:dyDescent="0.35">
      <c r="K205" s="2">
        <v>145</v>
      </c>
      <c r="L205" s="2">
        <v>130</v>
      </c>
      <c r="R205" s="26" t="s">
        <v>97</v>
      </c>
      <c r="S205" s="26">
        <v>120</v>
      </c>
      <c r="T205" s="24"/>
      <c r="U205" s="24"/>
      <c r="V205" s="24"/>
      <c r="W205" s="24"/>
      <c r="X205" s="24"/>
      <c r="Y205" s="24"/>
      <c r="Z205" s="24"/>
    </row>
    <row r="206" spans="11:26" ht="28.2" customHeight="1" x14ac:dyDescent="0.3">
      <c r="K206" s="2">
        <v>167</v>
      </c>
      <c r="L206" s="2">
        <v>145.5</v>
      </c>
      <c r="R206" s="24"/>
      <c r="S206" s="24"/>
      <c r="T206" s="24"/>
      <c r="U206" s="24"/>
      <c r="V206" s="24"/>
      <c r="W206" s="24"/>
      <c r="X206" s="24"/>
      <c r="Y206" s="24"/>
      <c r="Z206" s="24"/>
    </row>
    <row r="207" spans="11:26" ht="28.2" customHeight="1" thickBot="1" x14ac:dyDescent="0.35">
      <c r="K207" s="2">
        <v>152.5</v>
      </c>
      <c r="L207" s="2">
        <v>126</v>
      </c>
      <c r="R207" s="24" t="s">
        <v>33</v>
      </c>
      <c r="S207" s="24"/>
      <c r="T207" s="24"/>
      <c r="U207" s="24"/>
      <c r="V207" s="24"/>
      <c r="W207" s="24"/>
      <c r="X207" s="24"/>
      <c r="Y207" s="24"/>
      <c r="Z207" s="24"/>
    </row>
    <row r="208" spans="11:26" ht="28.2" customHeight="1" x14ac:dyDescent="0.3">
      <c r="K208" s="2">
        <v>152.5</v>
      </c>
      <c r="L208" s="2">
        <v>146.5</v>
      </c>
      <c r="R208" s="5"/>
      <c r="S208" s="5" t="s">
        <v>36</v>
      </c>
      <c r="T208" s="5" t="s">
        <v>35</v>
      </c>
      <c r="U208" s="5" t="s">
        <v>37</v>
      </c>
      <c r="V208" s="5" t="s">
        <v>38</v>
      </c>
      <c r="W208" s="5" t="s">
        <v>101</v>
      </c>
      <c r="X208" s="24"/>
      <c r="Y208" s="24"/>
      <c r="Z208" s="24"/>
    </row>
    <row r="209" spans="11:26" ht="28.2" customHeight="1" x14ac:dyDescent="0.3">
      <c r="K209" s="2">
        <v>154</v>
      </c>
      <c r="L209" s="2">
        <v>140</v>
      </c>
      <c r="R209" s="24" t="s">
        <v>98</v>
      </c>
      <c r="S209" s="24">
        <v>1</v>
      </c>
      <c r="T209" s="24">
        <v>1941.3034188388456</v>
      </c>
      <c r="U209" s="24">
        <v>1941.3034188388456</v>
      </c>
      <c r="V209" s="24">
        <v>84.080921305470795</v>
      </c>
      <c r="W209" s="37">
        <v>1.8433032402323401E-15</v>
      </c>
      <c r="X209" s="24"/>
      <c r="Y209" s="24"/>
      <c r="Z209" s="24"/>
    </row>
    <row r="210" spans="11:26" ht="28.2" customHeight="1" x14ac:dyDescent="0.3">
      <c r="K210" s="2">
        <v>162</v>
      </c>
      <c r="L210" s="2">
        <v>140.5</v>
      </c>
      <c r="R210" s="24" t="s">
        <v>99</v>
      </c>
      <c r="S210" s="24">
        <v>118</v>
      </c>
      <c r="T210" s="24">
        <v>2724.4444978278179</v>
      </c>
      <c r="U210" s="24">
        <v>23.088512693456085</v>
      </c>
      <c r="V210" s="24"/>
      <c r="W210" s="24"/>
      <c r="X210" s="24"/>
      <c r="Y210" s="24"/>
      <c r="Z210" s="24"/>
    </row>
    <row r="211" spans="11:26" ht="28.2" customHeight="1" thickBot="1" x14ac:dyDescent="0.35">
      <c r="K211" s="2">
        <v>157.5</v>
      </c>
      <c r="L211" s="2">
        <v>138</v>
      </c>
      <c r="R211" s="26" t="s">
        <v>43</v>
      </c>
      <c r="S211" s="26">
        <v>119</v>
      </c>
      <c r="T211" s="26">
        <v>4665.7479166666635</v>
      </c>
      <c r="U211" s="26"/>
      <c r="V211" s="26"/>
      <c r="W211" s="26"/>
      <c r="X211" s="24"/>
      <c r="Y211" s="24"/>
      <c r="Z211" s="24"/>
    </row>
    <row r="212" spans="11:26" ht="28.2" customHeight="1" thickBot="1" x14ac:dyDescent="0.35">
      <c r="K212" s="2">
        <v>159</v>
      </c>
      <c r="L212" s="2">
        <v>133.5</v>
      </c>
      <c r="R212" s="24"/>
      <c r="S212" s="24"/>
      <c r="T212" s="24"/>
      <c r="U212" s="24"/>
      <c r="V212" s="24"/>
      <c r="W212" s="24"/>
      <c r="X212" s="24"/>
      <c r="Y212" s="24"/>
      <c r="Z212" s="24"/>
    </row>
    <row r="213" spans="11:26" ht="28.2" customHeight="1" x14ac:dyDescent="0.3">
      <c r="K213" s="2">
        <v>154.5</v>
      </c>
      <c r="L213" s="2">
        <v>137</v>
      </c>
      <c r="R213" s="5"/>
      <c r="S213" s="5" t="s">
        <v>102</v>
      </c>
      <c r="T213" s="5" t="s">
        <v>5</v>
      </c>
      <c r="U213" s="5" t="s">
        <v>103</v>
      </c>
      <c r="V213" s="5" t="s">
        <v>39</v>
      </c>
      <c r="W213" s="5" t="s">
        <v>104</v>
      </c>
      <c r="X213" s="5" t="s">
        <v>105</v>
      </c>
      <c r="Y213" s="5" t="s">
        <v>106</v>
      </c>
      <c r="Z213" s="5" t="s">
        <v>107</v>
      </c>
    </row>
    <row r="214" spans="11:26" ht="28.2" customHeight="1" x14ac:dyDescent="0.3">
      <c r="K214" s="2">
        <v>151</v>
      </c>
      <c r="L214" s="2">
        <v>133.5</v>
      </c>
      <c r="R214" s="24" t="s">
        <v>100</v>
      </c>
      <c r="S214" s="24">
        <v>38.255630163985941</v>
      </c>
      <c r="T214" s="24">
        <v>10.396722412695372</v>
      </c>
      <c r="U214" s="24">
        <v>3.6795856083713683</v>
      </c>
      <c r="V214" s="24">
        <v>3.5342541744551531E-4</v>
      </c>
      <c r="W214" s="24">
        <v>17.667289286730963</v>
      </c>
      <c r="X214" s="24">
        <v>58.84397104124092</v>
      </c>
      <c r="Y214" s="24">
        <v>17.667289286730963</v>
      </c>
      <c r="Z214" s="24">
        <v>58.84397104124092</v>
      </c>
    </row>
    <row r="215" spans="11:26" ht="28.2" customHeight="1" thickBot="1" x14ac:dyDescent="0.35">
      <c r="K215" s="2">
        <v>166</v>
      </c>
      <c r="L215" s="2">
        <v>142</v>
      </c>
      <c r="R215" s="26" t="s">
        <v>78</v>
      </c>
      <c r="S215" s="26">
        <v>0.63125531606448992</v>
      </c>
      <c r="T215" s="26">
        <v>6.8842449969803376E-2</v>
      </c>
      <c r="U215" s="26">
        <v>9.1695649463576583</v>
      </c>
      <c r="V215" s="26">
        <v>1.8433032402321949E-15</v>
      </c>
      <c r="W215" s="26">
        <v>0.49492852281732536</v>
      </c>
      <c r="X215" s="26">
        <v>0.76758210931165449</v>
      </c>
      <c r="Y215" s="26">
        <v>0.49492852281732536</v>
      </c>
      <c r="Z215" s="26">
        <v>0.76758210931165449</v>
      </c>
    </row>
    <row r="216" spans="11:26" ht="28.2" customHeight="1" x14ac:dyDescent="0.3">
      <c r="K216" s="2">
        <v>157</v>
      </c>
      <c r="L216" s="2">
        <v>138.5</v>
      </c>
      <c r="R216" s="24"/>
      <c r="S216" s="24"/>
      <c r="T216" s="24"/>
      <c r="U216" s="24"/>
      <c r="V216" s="24"/>
      <c r="W216" s="24"/>
      <c r="X216" s="24"/>
      <c r="Y216" s="24"/>
      <c r="Z216" s="24"/>
    </row>
    <row r="217" spans="11:26" ht="28.2" customHeight="1" x14ac:dyDescent="0.3">
      <c r="K217" s="2">
        <v>158.5</v>
      </c>
      <c r="L217" s="2">
        <v>140.5</v>
      </c>
      <c r="R217" s="24"/>
      <c r="S217" s="24"/>
      <c r="T217" s="24"/>
      <c r="U217" s="24"/>
      <c r="V217" s="24"/>
      <c r="W217" s="24"/>
      <c r="X217" s="24"/>
      <c r="Y217" s="24"/>
      <c r="Z217" s="24"/>
    </row>
    <row r="218" spans="11:26" ht="28.2" customHeight="1" x14ac:dyDescent="0.3">
      <c r="K218" s="2">
        <v>156.5</v>
      </c>
      <c r="L218" s="2">
        <v>131</v>
      </c>
      <c r="R218" s="24"/>
      <c r="S218" s="24"/>
      <c r="T218" s="24"/>
      <c r="U218" s="24"/>
      <c r="V218" s="24"/>
      <c r="W218" s="24"/>
      <c r="X218" s="24"/>
      <c r="Y218" s="24"/>
      <c r="Z218" s="24"/>
    </row>
    <row r="219" spans="11:26" ht="28.2" customHeight="1" x14ac:dyDescent="0.3">
      <c r="K219" s="2">
        <v>155</v>
      </c>
      <c r="L219" s="2">
        <v>135</v>
      </c>
      <c r="R219" s="24" t="s">
        <v>108</v>
      </c>
      <c r="S219" s="24"/>
      <c r="T219" s="24"/>
      <c r="U219" s="24"/>
      <c r="V219" s="24"/>
      <c r="W219" s="24" t="s">
        <v>113</v>
      </c>
      <c r="X219" s="24"/>
      <c r="Y219" s="24"/>
      <c r="Z219" s="24"/>
    </row>
    <row r="220" spans="11:26" ht="28.2" customHeight="1" thickBot="1" x14ac:dyDescent="0.35">
      <c r="K220" s="2">
        <v>158</v>
      </c>
      <c r="L220" s="2">
        <v>133.5</v>
      </c>
      <c r="R220" s="24"/>
      <c r="S220" s="24"/>
      <c r="T220" s="24"/>
      <c r="U220" s="24"/>
      <c r="V220" s="24"/>
      <c r="W220" s="24"/>
      <c r="X220" s="24"/>
      <c r="Y220" s="24"/>
      <c r="Z220" s="24"/>
    </row>
    <row r="221" spans="11:26" ht="28.2" customHeight="1" x14ac:dyDescent="0.3">
      <c r="K221" s="2">
        <v>153</v>
      </c>
      <c r="L221" s="2">
        <v>131.5</v>
      </c>
      <c r="R221" s="5" t="s">
        <v>109</v>
      </c>
      <c r="S221" s="5" t="s">
        <v>115</v>
      </c>
      <c r="T221" s="5" t="s">
        <v>111</v>
      </c>
      <c r="U221" s="5" t="s">
        <v>112</v>
      </c>
      <c r="V221" s="24"/>
      <c r="W221" s="5" t="s">
        <v>114</v>
      </c>
      <c r="X221" s="5" t="s">
        <v>81</v>
      </c>
      <c r="Y221" s="24"/>
      <c r="Z221" s="24"/>
    </row>
    <row r="222" spans="11:26" ht="28.2" customHeight="1" x14ac:dyDescent="0.3">
      <c r="K222" s="2">
        <v>164</v>
      </c>
      <c r="L222" s="2">
        <v>143</v>
      </c>
      <c r="R222" s="24">
        <v>1</v>
      </c>
      <c r="S222" s="24">
        <v>144.93777857888472</v>
      </c>
      <c r="T222" s="24">
        <v>6.5622214211152823</v>
      </c>
      <c r="U222" s="24">
        <v>1.371467051352387</v>
      </c>
      <c r="V222" s="24"/>
      <c r="W222" s="24">
        <v>0.41666666666666669</v>
      </c>
      <c r="X222" s="24">
        <v>120</v>
      </c>
      <c r="Y222" s="24"/>
      <c r="Z222" s="24"/>
    </row>
    <row r="223" spans="11:26" ht="28.2" customHeight="1" x14ac:dyDescent="0.3">
      <c r="K223" s="2">
        <v>151</v>
      </c>
      <c r="L223" s="2">
        <v>141.5</v>
      </c>
      <c r="R223" s="24">
        <v>2</v>
      </c>
      <c r="S223" s="24">
        <v>140.20336370840107</v>
      </c>
      <c r="T223" s="24">
        <v>5.2966362915989293</v>
      </c>
      <c r="U223" s="24">
        <v>1.1069669385966321</v>
      </c>
      <c r="V223" s="24"/>
      <c r="W223" s="24">
        <v>1.25</v>
      </c>
      <c r="X223" s="24">
        <v>120.5</v>
      </c>
      <c r="Y223" s="24"/>
      <c r="Z223" s="24"/>
    </row>
    <row r="224" spans="11:26" ht="28.2" customHeight="1" x14ac:dyDescent="0.3">
      <c r="K224" s="2">
        <v>155.5</v>
      </c>
      <c r="L224" s="2">
        <v>138.5</v>
      </c>
      <c r="R224" s="24">
        <v>3</v>
      </c>
      <c r="S224" s="24">
        <v>136.73145947004639</v>
      </c>
      <c r="T224" s="24">
        <v>-2.2314594700463886</v>
      </c>
      <c r="U224" s="24">
        <v>-0.46636237078948711</v>
      </c>
      <c r="V224" s="24"/>
      <c r="W224" s="24">
        <v>2.0833333333333335</v>
      </c>
      <c r="X224" s="24">
        <v>120.5</v>
      </c>
      <c r="Y224" s="24"/>
      <c r="Z224" s="24"/>
    </row>
    <row r="225" spans="11:26" ht="28.2" customHeight="1" x14ac:dyDescent="0.3">
      <c r="K225" s="2">
        <v>156.5</v>
      </c>
      <c r="L225" s="2">
        <v>134.5</v>
      </c>
      <c r="R225" s="24">
        <v>4</v>
      </c>
      <c r="S225" s="24">
        <v>137.67834244414308</v>
      </c>
      <c r="T225" s="24">
        <v>-3.6783424441430839</v>
      </c>
      <c r="U225" s="24">
        <v>-0.7687527046101823</v>
      </c>
      <c r="V225" s="24"/>
      <c r="W225" s="24">
        <v>2.9166666666666665</v>
      </c>
      <c r="X225" s="24">
        <v>123</v>
      </c>
      <c r="Y225" s="24"/>
      <c r="Z225" s="24"/>
    </row>
    <row r="226" spans="11:26" ht="28.2" customHeight="1" x14ac:dyDescent="0.3">
      <c r="K226" s="2">
        <v>158.5</v>
      </c>
      <c r="L226" s="2">
        <v>136</v>
      </c>
      <c r="R226" s="24">
        <v>5</v>
      </c>
      <c r="S226" s="24">
        <v>138.62522541823984</v>
      </c>
      <c r="T226" s="24">
        <v>-1.625225418239836</v>
      </c>
      <c r="U226" s="24">
        <v>-0.33966289295942681</v>
      </c>
      <c r="V226" s="24"/>
      <c r="W226" s="24">
        <v>3.75</v>
      </c>
      <c r="X226" s="24">
        <v>123</v>
      </c>
      <c r="Y226" s="24"/>
      <c r="Z226" s="24"/>
    </row>
    <row r="227" spans="11:26" ht="28.2" customHeight="1" x14ac:dyDescent="0.3">
      <c r="K227" s="2">
        <v>147</v>
      </c>
      <c r="L227" s="2">
        <v>124.5</v>
      </c>
      <c r="R227" s="24">
        <v>6</v>
      </c>
      <c r="S227" s="24">
        <v>141.46587434053004</v>
      </c>
      <c r="T227" s="24">
        <v>-1.4658743405300356</v>
      </c>
      <c r="U227" s="24">
        <v>-0.30635942167251273</v>
      </c>
      <c r="V227" s="24"/>
      <c r="W227" s="24">
        <v>4.5833333333333339</v>
      </c>
      <c r="X227" s="24">
        <v>124</v>
      </c>
      <c r="Y227" s="24"/>
      <c r="Z227" s="24"/>
    </row>
    <row r="228" spans="11:26" ht="28.2" customHeight="1" x14ac:dyDescent="0.3">
      <c r="K228" s="2">
        <v>156.5</v>
      </c>
      <c r="L228" s="2">
        <v>137.5</v>
      </c>
      <c r="R228" s="24">
        <v>7</v>
      </c>
      <c r="S228" s="24">
        <v>129.78765099333697</v>
      </c>
      <c r="T228" s="24">
        <v>0.21234900666303247</v>
      </c>
      <c r="U228" s="24">
        <v>4.4379737795598728E-2</v>
      </c>
      <c r="V228" s="24"/>
      <c r="W228" s="24">
        <v>5.416666666666667</v>
      </c>
      <c r="X228" s="24">
        <v>124</v>
      </c>
      <c r="Y228" s="24"/>
      <c r="Z228" s="24"/>
    </row>
    <row r="229" spans="11:26" ht="28.2" customHeight="1" x14ac:dyDescent="0.3">
      <c r="K229" s="2">
        <v>147</v>
      </c>
      <c r="L229" s="2">
        <v>133</v>
      </c>
      <c r="R229" s="24">
        <v>8</v>
      </c>
      <c r="S229" s="24">
        <v>143.67526794675575</v>
      </c>
      <c r="T229" s="24">
        <v>1.8247320532442473</v>
      </c>
      <c r="U229" s="24">
        <v>0.38135864792958357</v>
      </c>
      <c r="V229" s="24"/>
      <c r="W229" s="24">
        <v>6.2500000000000009</v>
      </c>
      <c r="X229" s="24">
        <v>124</v>
      </c>
      <c r="Y229" s="24"/>
      <c r="Z229" s="24"/>
    </row>
    <row r="230" spans="11:26" ht="28.2" customHeight="1" x14ac:dyDescent="0.3">
      <c r="K230" s="2">
        <v>148</v>
      </c>
      <c r="L230" s="2">
        <v>135</v>
      </c>
      <c r="R230" s="24">
        <v>9</v>
      </c>
      <c r="S230" s="24">
        <v>134.52206586382067</v>
      </c>
      <c r="T230" s="24">
        <v>-8.5220658638206714</v>
      </c>
      <c r="U230" s="24">
        <v>-1.7810634222242656</v>
      </c>
      <c r="V230" s="24"/>
      <c r="W230" s="24">
        <v>7.0833333333333339</v>
      </c>
      <c r="X230" s="24">
        <v>124</v>
      </c>
      <c r="Y230" s="24"/>
      <c r="Z230" s="24"/>
    </row>
    <row r="231" spans="11:26" ht="28.2" customHeight="1" x14ac:dyDescent="0.3">
      <c r="K231" s="2">
        <v>151.5</v>
      </c>
      <c r="L231" s="2">
        <v>132</v>
      </c>
      <c r="R231" s="24">
        <v>10</v>
      </c>
      <c r="S231" s="24">
        <v>134.52206586382067</v>
      </c>
      <c r="T231" s="24">
        <v>11.977934136179329</v>
      </c>
      <c r="U231" s="24">
        <v>2.5033202869657289</v>
      </c>
      <c r="V231" s="24"/>
      <c r="W231" s="24">
        <v>7.916666666666667</v>
      </c>
      <c r="X231" s="24">
        <v>124</v>
      </c>
      <c r="Y231" s="24"/>
      <c r="Z231" s="24"/>
    </row>
    <row r="232" spans="11:26" ht="28.2" customHeight="1" x14ac:dyDescent="0.3">
      <c r="K232" s="2">
        <v>155</v>
      </c>
      <c r="L232" s="2">
        <v>137</v>
      </c>
      <c r="R232" s="24">
        <v>11</v>
      </c>
      <c r="S232" s="24">
        <v>135.4689488379174</v>
      </c>
      <c r="T232" s="24">
        <v>4.5310511620826048</v>
      </c>
      <c r="U232" s="24">
        <v>0.94696398947966376</v>
      </c>
      <c r="V232" s="24"/>
      <c r="W232" s="24">
        <v>8.75</v>
      </c>
      <c r="X232" s="24">
        <v>124.5</v>
      </c>
      <c r="Y232" s="24"/>
      <c r="Z232" s="24"/>
    </row>
    <row r="233" spans="11:26" ht="28.2" customHeight="1" x14ac:dyDescent="0.3">
      <c r="K233" s="2">
        <v>159</v>
      </c>
      <c r="L233" s="2">
        <v>133</v>
      </c>
      <c r="R233" s="24">
        <v>12</v>
      </c>
      <c r="S233" s="24">
        <v>140.51899136643331</v>
      </c>
      <c r="T233" s="24">
        <v>-1.8991366433311896E-2</v>
      </c>
      <c r="U233" s="24">
        <v>-3.9690878518116677E-3</v>
      </c>
      <c r="V233" s="24"/>
      <c r="W233" s="24">
        <v>9.5833333333333339</v>
      </c>
      <c r="X233" s="24">
        <v>124.5</v>
      </c>
      <c r="Y233" s="24"/>
      <c r="Z233" s="24"/>
    </row>
    <row r="234" spans="11:26" ht="28.2" customHeight="1" x14ac:dyDescent="0.3">
      <c r="K234" s="2">
        <v>154</v>
      </c>
      <c r="L234" s="2">
        <v>132.5</v>
      </c>
      <c r="R234" s="24">
        <v>13</v>
      </c>
      <c r="S234" s="24">
        <v>137.67834244414308</v>
      </c>
      <c r="T234" s="24">
        <v>0.32165755585691613</v>
      </c>
      <c r="U234" s="24">
        <v>6.7224604500060597E-2</v>
      </c>
      <c r="V234" s="24"/>
      <c r="W234" s="24">
        <v>10.416666666666666</v>
      </c>
      <c r="X234" s="24">
        <v>125</v>
      </c>
      <c r="Y234" s="24"/>
      <c r="Z234" s="24"/>
    </row>
    <row r="235" spans="11:26" ht="28.2" customHeight="1" x14ac:dyDescent="0.3">
      <c r="K235" s="2">
        <v>157.5</v>
      </c>
      <c r="L235" s="2">
        <v>137.5</v>
      </c>
      <c r="R235" s="24">
        <v>14</v>
      </c>
      <c r="S235" s="24">
        <v>138.62522541823984</v>
      </c>
      <c r="T235" s="24">
        <v>-5.125225418239836</v>
      </c>
      <c r="U235" s="24">
        <v>-1.0711430384308893</v>
      </c>
      <c r="V235" s="24"/>
      <c r="W235" s="24">
        <v>11.25</v>
      </c>
      <c r="X235" s="24">
        <v>126</v>
      </c>
      <c r="Y235" s="24"/>
      <c r="Z235" s="24"/>
    </row>
    <row r="236" spans="11:26" ht="28.2" customHeight="1" x14ac:dyDescent="0.3">
      <c r="K236" s="2">
        <v>153</v>
      </c>
      <c r="L236" s="2">
        <v>143</v>
      </c>
      <c r="R236" s="24">
        <v>15</v>
      </c>
      <c r="S236" s="24">
        <v>135.78457649594964</v>
      </c>
      <c r="T236" s="24">
        <v>1.2154235040503636</v>
      </c>
      <c r="U236" s="24">
        <v>0.25401661758634131</v>
      </c>
      <c r="V236" s="24"/>
      <c r="W236" s="24">
        <v>12.083333333333334</v>
      </c>
      <c r="X236" s="24">
        <v>126.5</v>
      </c>
      <c r="Y236" s="24"/>
      <c r="Z236" s="24"/>
    </row>
    <row r="237" spans="11:26" ht="28.2" customHeight="1" x14ac:dyDescent="0.3">
      <c r="K237" s="2">
        <v>147</v>
      </c>
      <c r="L237" s="2">
        <v>129</v>
      </c>
      <c r="R237" s="24">
        <v>16</v>
      </c>
      <c r="S237" s="24">
        <v>133.57518288972392</v>
      </c>
      <c r="T237" s="24">
        <v>-7.5182889723919288E-2</v>
      </c>
      <c r="U237" s="24">
        <v>-1.5712797460633546E-2</v>
      </c>
      <c r="V237" s="24"/>
      <c r="W237" s="24">
        <v>12.916666666666666</v>
      </c>
      <c r="X237" s="24">
        <v>126.5</v>
      </c>
      <c r="Y237" s="24"/>
      <c r="Z237" s="24"/>
    </row>
    <row r="238" spans="11:26" ht="28.2" customHeight="1" x14ac:dyDescent="0.3">
      <c r="K238" s="2">
        <v>148</v>
      </c>
      <c r="L238" s="2">
        <v>132</v>
      </c>
      <c r="R238" s="24">
        <v>17</v>
      </c>
      <c r="S238" s="24">
        <v>143.04401263069127</v>
      </c>
      <c r="T238" s="24">
        <v>-1.0440126306912703</v>
      </c>
      <c r="U238" s="24">
        <v>-0.21819271742059848</v>
      </c>
      <c r="V238" s="24"/>
      <c r="W238" s="24">
        <v>13.75</v>
      </c>
      <c r="X238" s="24">
        <v>126.5</v>
      </c>
      <c r="Y238" s="24"/>
      <c r="Z238" s="24"/>
    </row>
    <row r="239" spans="11:26" ht="28.2" customHeight="1" x14ac:dyDescent="0.3">
      <c r="K239" s="2">
        <v>152.5</v>
      </c>
      <c r="L239" s="2">
        <v>139</v>
      </c>
      <c r="R239" s="24">
        <v>18</v>
      </c>
      <c r="S239" s="24">
        <v>137.36271478611087</v>
      </c>
      <c r="T239" s="24">
        <v>1.137285213889129</v>
      </c>
      <c r="U239" s="24">
        <v>0.23768615819947525</v>
      </c>
      <c r="V239" s="24"/>
      <c r="W239" s="24">
        <v>14.583333333333334</v>
      </c>
      <c r="X239" s="24">
        <v>127</v>
      </c>
      <c r="Y239" s="24"/>
      <c r="Z239" s="24"/>
    </row>
    <row r="240" spans="11:26" ht="28.2" customHeight="1" x14ac:dyDescent="0.3">
      <c r="K240" s="2">
        <v>152</v>
      </c>
      <c r="L240" s="2">
        <v>142.5</v>
      </c>
      <c r="R240" s="24">
        <v>19</v>
      </c>
      <c r="S240" s="24">
        <v>138.30959776020759</v>
      </c>
      <c r="T240" s="24">
        <v>2.1904022397924052</v>
      </c>
      <c r="U240" s="24">
        <v>0.45778164257267595</v>
      </c>
      <c r="V240" s="24"/>
      <c r="W240" s="24">
        <v>15.416666666666666</v>
      </c>
      <c r="X240" s="24">
        <v>127</v>
      </c>
      <c r="Y240" s="24"/>
      <c r="Z240" s="24"/>
    </row>
    <row r="241" spans="11:26" ht="28.2" customHeight="1" x14ac:dyDescent="0.3">
      <c r="K241" s="2">
        <v>155.5</v>
      </c>
      <c r="L241" s="2">
        <v>142</v>
      </c>
      <c r="R241" s="24">
        <v>20</v>
      </c>
      <c r="S241" s="24">
        <v>137.0470871280786</v>
      </c>
      <c r="T241" s="24">
        <v>-6.0470871280786014</v>
      </c>
      <c r="U241" s="24">
        <v>-1.263806906321584</v>
      </c>
      <c r="V241" s="24"/>
      <c r="W241" s="24">
        <v>16.25</v>
      </c>
      <c r="X241" s="24">
        <v>127</v>
      </c>
      <c r="Y241" s="24"/>
      <c r="Z241" s="24"/>
    </row>
    <row r="242" spans="11:26" ht="28.2" customHeight="1" x14ac:dyDescent="0.3">
      <c r="K242" s="2">
        <v>142</v>
      </c>
      <c r="L242" s="2">
        <v>127</v>
      </c>
      <c r="R242" s="24">
        <v>21</v>
      </c>
      <c r="S242" s="24">
        <v>136.10020415398188</v>
      </c>
      <c r="T242" s="24">
        <v>-1.1002041539818777</v>
      </c>
      <c r="U242" s="24">
        <v>-0.22993642702942035</v>
      </c>
      <c r="V242" s="24"/>
      <c r="W242" s="24">
        <v>17.083333333333336</v>
      </c>
      <c r="X242" s="24">
        <v>127.5</v>
      </c>
      <c r="Y242" s="24"/>
      <c r="Z242" s="24"/>
    </row>
    <row r="243" spans="11:26" ht="28.2" customHeight="1" x14ac:dyDescent="0.3">
      <c r="K243" s="2">
        <v>156.5</v>
      </c>
      <c r="L243" s="2">
        <v>143.5</v>
      </c>
      <c r="R243" s="24">
        <v>22</v>
      </c>
      <c r="S243" s="24">
        <v>137.99397010217535</v>
      </c>
      <c r="T243" s="24">
        <v>-4.4939701021753535</v>
      </c>
      <c r="U243" s="24">
        <v>-0.93921425830960881</v>
      </c>
      <c r="V243" s="24"/>
      <c r="W243" s="24">
        <v>17.916666666666668</v>
      </c>
      <c r="X243" s="24">
        <v>128</v>
      </c>
      <c r="Y243" s="24"/>
      <c r="Z243" s="24"/>
    </row>
    <row r="244" spans="11:26" ht="28.2" customHeight="1" x14ac:dyDescent="0.3">
      <c r="K244" s="2">
        <v>161.5</v>
      </c>
      <c r="L244" s="2">
        <v>143.5</v>
      </c>
      <c r="R244" s="24">
        <v>23</v>
      </c>
      <c r="S244" s="24">
        <v>134.83769352185288</v>
      </c>
      <c r="T244" s="24">
        <v>-3.3376935218528843</v>
      </c>
      <c r="U244" s="24">
        <v>-0.69755901225831596</v>
      </c>
      <c r="V244" s="24"/>
      <c r="W244" s="24">
        <v>18.750000000000004</v>
      </c>
      <c r="X244" s="24">
        <v>128</v>
      </c>
      <c r="Y244" s="24"/>
      <c r="Z244" s="24"/>
    </row>
    <row r="245" spans="11:26" ht="28.2" customHeight="1" x14ac:dyDescent="0.3">
      <c r="K245" s="2">
        <v>150.5</v>
      </c>
      <c r="L245" s="2">
        <v>136</v>
      </c>
      <c r="R245" s="24">
        <v>24</v>
      </c>
      <c r="S245" s="24">
        <v>141.78150199856231</v>
      </c>
      <c r="T245" s="24">
        <v>1.2184980014376947</v>
      </c>
      <c r="U245" s="24">
        <v>0.25465917009952321</v>
      </c>
      <c r="V245" s="24"/>
      <c r="W245" s="24">
        <v>19.583333333333336</v>
      </c>
      <c r="X245" s="24">
        <v>128.5</v>
      </c>
      <c r="Y245" s="24"/>
      <c r="Z245" s="24"/>
    </row>
    <row r="246" spans="11:26" ht="28.2" customHeight="1" x14ac:dyDescent="0.3">
      <c r="K246" s="2">
        <v>152</v>
      </c>
      <c r="L246" s="2">
        <v>133</v>
      </c>
      <c r="R246" s="24">
        <v>25</v>
      </c>
      <c r="S246" s="24">
        <v>133.57518288972392</v>
      </c>
      <c r="T246" s="24">
        <v>7.9248171102760807</v>
      </c>
      <c r="U246" s="24">
        <v>1.6562418207598522</v>
      </c>
      <c r="V246" s="24"/>
      <c r="W246" s="24">
        <v>20.416666666666668</v>
      </c>
      <c r="X246" s="24">
        <v>128.5</v>
      </c>
      <c r="Y246" s="24"/>
      <c r="Z246" s="24"/>
    </row>
    <row r="247" spans="11:26" ht="28.2" customHeight="1" x14ac:dyDescent="0.3">
      <c r="K247" s="2">
        <v>151.5</v>
      </c>
      <c r="L247" s="2">
        <v>130.5</v>
      </c>
      <c r="R247" s="24">
        <v>26</v>
      </c>
      <c r="S247" s="24">
        <v>136.41583181201412</v>
      </c>
      <c r="T247" s="24">
        <v>2.0841681879858811</v>
      </c>
      <c r="U247" s="24">
        <v>0.43557932838140195</v>
      </c>
      <c r="V247" s="24"/>
      <c r="W247" s="24">
        <v>21.250000000000004</v>
      </c>
      <c r="X247" s="24">
        <v>128.5</v>
      </c>
      <c r="Y247" s="24"/>
      <c r="Z247" s="24"/>
    </row>
    <row r="248" spans="11:26" ht="28.2" customHeight="1" x14ac:dyDescent="0.3">
      <c r="K248" s="2">
        <v>149.5</v>
      </c>
      <c r="L248" s="2">
        <v>132.5</v>
      </c>
      <c r="R248" s="24">
        <v>27</v>
      </c>
      <c r="S248" s="24">
        <v>137.0470871280786</v>
      </c>
      <c r="T248" s="24">
        <v>-2.5470871280786014</v>
      </c>
      <c r="U248" s="24">
        <v>-0.53232676085012143</v>
      </c>
      <c r="V248" s="24"/>
      <c r="W248" s="24">
        <v>22.083333333333336</v>
      </c>
      <c r="X248" s="24">
        <v>128.5</v>
      </c>
      <c r="Y248" s="24"/>
      <c r="Z248" s="24"/>
    </row>
    <row r="249" spans="11:26" ht="28.2" customHeight="1" x14ac:dyDescent="0.3">
      <c r="K249" s="2">
        <v>151</v>
      </c>
      <c r="L249" s="2">
        <v>141</v>
      </c>
      <c r="R249" s="24">
        <v>28</v>
      </c>
      <c r="S249" s="24">
        <v>138.30959776020759</v>
      </c>
      <c r="T249" s="24">
        <v>-2.3095977602075948</v>
      </c>
      <c r="U249" s="24">
        <v>-0.48269283017634729</v>
      </c>
      <c r="V249" s="24"/>
      <c r="W249" s="24">
        <v>22.916666666666668</v>
      </c>
      <c r="X249" s="24">
        <v>129</v>
      </c>
      <c r="Y249" s="24"/>
      <c r="Z249" s="24"/>
    </row>
    <row r="250" spans="11:26" ht="28.2" customHeight="1" x14ac:dyDescent="0.3">
      <c r="K250" s="2">
        <v>152.5</v>
      </c>
      <c r="L250" s="2">
        <v>133.5</v>
      </c>
      <c r="R250" s="24">
        <v>29</v>
      </c>
      <c r="S250" s="24">
        <v>131.05016162546596</v>
      </c>
      <c r="T250" s="24">
        <v>-6.5501616254659609</v>
      </c>
      <c r="U250" s="24">
        <v>-1.368946622473552</v>
      </c>
      <c r="V250" s="24"/>
      <c r="W250" s="24">
        <v>23.750000000000004</v>
      </c>
      <c r="X250" s="24">
        <v>129</v>
      </c>
      <c r="Y250" s="24"/>
      <c r="Z250" s="24"/>
    </row>
    <row r="251" spans="11:26" ht="28.2" customHeight="1" x14ac:dyDescent="0.3">
      <c r="K251" s="2">
        <v>148</v>
      </c>
      <c r="L251" s="2">
        <v>131</v>
      </c>
      <c r="R251" s="24">
        <v>30</v>
      </c>
      <c r="S251" s="24">
        <v>137.0470871280786</v>
      </c>
      <c r="T251" s="24">
        <v>0.45291287192139862</v>
      </c>
      <c r="U251" s="24">
        <v>9.4656220982560726E-2</v>
      </c>
      <c r="V251" s="24"/>
      <c r="W251" s="24">
        <v>24.583333333333336</v>
      </c>
      <c r="X251" s="24">
        <v>129.5</v>
      </c>
      <c r="Y251" s="24"/>
      <c r="Z251" s="24"/>
    </row>
    <row r="252" spans="11:26" ht="28.2" customHeight="1" x14ac:dyDescent="0.3">
      <c r="K252" s="2">
        <v>149</v>
      </c>
      <c r="L252" s="2">
        <v>134</v>
      </c>
      <c r="R252" s="24">
        <v>31</v>
      </c>
      <c r="S252" s="24">
        <v>131.05016162546596</v>
      </c>
      <c r="T252" s="24">
        <v>1.9498383745340391</v>
      </c>
      <c r="U252" s="24">
        <v>0.40750515938571397</v>
      </c>
      <c r="V252" s="24"/>
      <c r="W252" s="24">
        <v>25.416666666666668</v>
      </c>
      <c r="X252" s="24">
        <v>129.5</v>
      </c>
      <c r="Y252" s="24"/>
      <c r="Z252" s="24"/>
    </row>
    <row r="253" spans="11:26" ht="28.2" customHeight="1" x14ac:dyDescent="0.3">
      <c r="K253" s="2">
        <v>159.5</v>
      </c>
      <c r="L253" s="2">
        <v>150</v>
      </c>
      <c r="R253" s="24">
        <v>32</v>
      </c>
      <c r="S253" s="24">
        <v>131.68141694153044</v>
      </c>
      <c r="T253" s="24">
        <v>3.3185830584695566</v>
      </c>
      <c r="U253" s="24">
        <v>0.69356503381955492</v>
      </c>
      <c r="V253" s="24"/>
      <c r="W253" s="24">
        <v>26.250000000000004</v>
      </c>
      <c r="X253" s="24">
        <v>129.5</v>
      </c>
      <c r="Y253" s="24"/>
      <c r="Z253" s="24"/>
    </row>
    <row r="254" spans="11:26" ht="28.2" customHeight="1" x14ac:dyDescent="0.3">
      <c r="K254" s="2">
        <v>152</v>
      </c>
      <c r="L254" s="2">
        <v>132.5</v>
      </c>
      <c r="R254" s="24">
        <v>33</v>
      </c>
      <c r="S254" s="24">
        <v>133.89081054775616</v>
      </c>
      <c r="T254" s="24">
        <v>-1.8908105477561605</v>
      </c>
      <c r="U254" s="24">
        <v>-0.39516867843761488</v>
      </c>
      <c r="V254" s="24"/>
      <c r="W254" s="24">
        <v>27.083333333333336</v>
      </c>
      <c r="X254" s="24">
        <v>130</v>
      </c>
      <c r="Y254" s="24"/>
      <c r="Z254" s="24"/>
    </row>
    <row r="255" spans="11:26" ht="28.2" customHeight="1" x14ac:dyDescent="0.3">
      <c r="K255" s="2">
        <v>157.5</v>
      </c>
      <c r="L255" s="2">
        <v>132.5</v>
      </c>
      <c r="R255" s="24">
        <v>34</v>
      </c>
      <c r="S255" s="24">
        <v>136.10020415398188</v>
      </c>
      <c r="T255" s="24">
        <v>0.89979584601812235</v>
      </c>
      <c r="U255" s="24">
        <v>0.18805222752570108</v>
      </c>
      <c r="V255" s="24"/>
      <c r="W255" s="24">
        <v>27.916666666666668</v>
      </c>
      <c r="X255" s="24">
        <v>130</v>
      </c>
      <c r="Y255" s="24"/>
      <c r="Z255" s="24"/>
    </row>
    <row r="256" spans="11:26" ht="28.2" customHeight="1" x14ac:dyDescent="0.3">
      <c r="K256" s="2">
        <v>149</v>
      </c>
      <c r="L256" s="2">
        <v>143</v>
      </c>
      <c r="R256" s="24">
        <v>35</v>
      </c>
      <c r="S256" s="24">
        <v>138.62522541823984</v>
      </c>
      <c r="T256" s="24">
        <v>-5.625225418239836</v>
      </c>
      <c r="U256" s="24">
        <v>-1.1756402020696697</v>
      </c>
      <c r="V256" s="24"/>
      <c r="W256" s="24">
        <v>28.750000000000004</v>
      </c>
      <c r="X256" s="24">
        <v>130.5</v>
      </c>
      <c r="Y256" s="24"/>
      <c r="Z256" s="24"/>
    </row>
    <row r="257" spans="11:26" ht="28.2" customHeight="1" x14ac:dyDescent="0.3">
      <c r="K257" s="2">
        <v>151</v>
      </c>
      <c r="L257" s="2">
        <v>137.5</v>
      </c>
      <c r="R257" s="24">
        <v>36</v>
      </c>
      <c r="S257" s="24">
        <v>135.4689488379174</v>
      </c>
      <c r="T257" s="24">
        <v>-2.9689488379173952</v>
      </c>
      <c r="U257" s="24">
        <v>-0.62049346510204162</v>
      </c>
      <c r="V257" s="24"/>
      <c r="W257" s="24">
        <v>29.583333333333336</v>
      </c>
      <c r="X257" s="24">
        <v>130.5</v>
      </c>
      <c r="Y257" s="24"/>
      <c r="Z257" s="24"/>
    </row>
    <row r="258" spans="11:26" ht="28.2" customHeight="1" x14ac:dyDescent="0.3">
      <c r="K258" s="2">
        <v>150.5</v>
      </c>
      <c r="L258" s="2">
        <v>126.5</v>
      </c>
      <c r="R258" s="24">
        <v>37</v>
      </c>
      <c r="S258" s="24">
        <v>137.67834244414308</v>
      </c>
      <c r="T258" s="24">
        <v>-0.17834244414308387</v>
      </c>
      <c r="U258" s="24">
        <v>-3.7272559138719762E-2</v>
      </c>
      <c r="V258" s="24"/>
      <c r="W258" s="24">
        <v>30.416666666666668</v>
      </c>
      <c r="X258" s="24">
        <v>130.5</v>
      </c>
      <c r="Y258" s="24"/>
      <c r="Z258" s="24"/>
    </row>
    <row r="259" spans="11:26" ht="28.2" customHeight="1" x14ac:dyDescent="0.3">
      <c r="K259" s="2">
        <v>146.5</v>
      </c>
      <c r="L259" s="2">
        <v>136</v>
      </c>
      <c r="R259" s="24">
        <v>38</v>
      </c>
      <c r="S259" s="24">
        <v>134.83769352185288</v>
      </c>
      <c r="T259" s="24">
        <v>8.1623064781471157</v>
      </c>
      <c r="U259" s="24">
        <v>1.7058757514336322</v>
      </c>
      <c r="V259" s="24"/>
      <c r="W259" s="24">
        <v>31.250000000000004</v>
      </c>
      <c r="X259" s="24">
        <v>131</v>
      </c>
      <c r="Y259" s="24"/>
      <c r="Z259" s="24"/>
    </row>
    <row r="260" spans="11:26" ht="28.2" customHeight="1" x14ac:dyDescent="0.3">
      <c r="K260" s="2">
        <v>149</v>
      </c>
      <c r="L260" s="2">
        <v>140.5</v>
      </c>
      <c r="R260" s="24">
        <v>39</v>
      </c>
      <c r="S260" s="24">
        <v>131.05016162546596</v>
      </c>
      <c r="T260" s="24">
        <v>-2.0501616254659609</v>
      </c>
      <c r="U260" s="24">
        <v>-0.42847214972452891</v>
      </c>
      <c r="V260" s="24"/>
      <c r="W260" s="24">
        <v>32.083333333333336</v>
      </c>
      <c r="X260" s="24">
        <v>131</v>
      </c>
      <c r="Y260" s="24"/>
      <c r="Z260" s="24"/>
    </row>
    <row r="261" spans="11:26" ht="28.2" customHeight="1" x14ac:dyDescent="0.3">
      <c r="K261" s="2">
        <v>149.5</v>
      </c>
      <c r="L261" s="2">
        <v>134.5</v>
      </c>
      <c r="R261" s="24">
        <v>40</v>
      </c>
      <c r="S261" s="24">
        <v>131.68141694153044</v>
      </c>
      <c r="T261" s="24">
        <v>0.31858305846955659</v>
      </c>
      <c r="U261" s="24">
        <v>6.6582051986872767E-2</v>
      </c>
      <c r="V261" s="24"/>
      <c r="W261" s="24">
        <v>32.916666666666664</v>
      </c>
      <c r="X261" s="24">
        <v>131</v>
      </c>
      <c r="Y261" s="24"/>
      <c r="Z261" s="24"/>
    </row>
    <row r="262" spans="11:26" ht="28.2" customHeight="1" x14ac:dyDescent="0.3">
      <c r="K262" s="2">
        <v>159</v>
      </c>
      <c r="L262" s="2">
        <v>137.5</v>
      </c>
      <c r="R262" s="24">
        <v>41</v>
      </c>
      <c r="S262" s="24">
        <v>134.52206586382067</v>
      </c>
      <c r="T262" s="24">
        <v>4.4779341361793286</v>
      </c>
      <c r="U262" s="24">
        <v>0.93586283238402379</v>
      </c>
      <c r="V262" s="24"/>
      <c r="W262" s="24">
        <v>33.75</v>
      </c>
      <c r="X262" s="24">
        <v>131</v>
      </c>
      <c r="Y262" s="24"/>
      <c r="Z262" s="24"/>
    </row>
    <row r="263" spans="11:26" ht="28.2" customHeight="1" x14ac:dyDescent="0.3">
      <c r="K263" s="2">
        <v>141</v>
      </c>
      <c r="L263" s="2">
        <v>124</v>
      </c>
      <c r="R263" s="24">
        <v>42</v>
      </c>
      <c r="S263" s="24">
        <v>134.2064382057884</v>
      </c>
      <c r="T263" s="24">
        <v>8.2935617942115982</v>
      </c>
      <c r="U263" s="24">
        <v>1.7333073679161324</v>
      </c>
      <c r="V263" s="24"/>
      <c r="W263" s="24">
        <v>34.583333333333336</v>
      </c>
      <c r="X263" s="24">
        <v>131</v>
      </c>
      <c r="Y263" s="24"/>
      <c r="Z263" s="24"/>
    </row>
    <row r="264" spans="11:26" ht="28.2" customHeight="1" x14ac:dyDescent="0.3">
      <c r="K264" s="2">
        <v>153</v>
      </c>
      <c r="L264" s="2">
        <v>126.5</v>
      </c>
      <c r="R264" s="24">
        <v>43</v>
      </c>
      <c r="S264" s="24">
        <v>136.41583181201412</v>
      </c>
      <c r="T264" s="24">
        <v>5.5841681879858811</v>
      </c>
      <c r="U264" s="24">
        <v>1.1670594738528643</v>
      </c>
      <c r="V264" s="24"/>
      <c r="W264" s="24">
        <v>35.416666666666664</v>
      </c>
      <c r="X264" s="24">
        <v>131.5</v>
      </c>
      <c r="Y264" s="24"/>
      <c r="Z264" s="24"/>
    </row>
    <row r="265" spans="11:26" ht="28.2" customHeight="1" x14ac:dyDescent="0.3">
      <c r="K265" s="2">
        <v>155</v>
      </c>
      <c r="L265" s="2">
        <v>130.5</v>
      </c>
      <c r="R265" s="24">
        <v>44</v>
      </c>
      <c r="S265" s="24">
        <v>127.89388504514351</v>
      </c>
      <c r="T265" s="24">
        <v>-0.89388504514350586</v>
      </c>
      <c r="U265" s="24">
        <v>-0.186816903673239</v>
      </c>
      <c r="V265" s="24"/>
      <c r="W265" s="24">
        <v>36.25</v>
      </c>
      <c r="X265" s="24">
        <v>131.5</v>
      </c>
      <c r="Y265" s="24"/>
      <c r="Z265" s="24"/>
    </row>
    <row r="266" spans="11:26" ht="28.2" customHeight="1" x14ac:dyDescent="0.3">
      <c r="K266" s="2">
        <v>148.5</v>
      </c>
      <c r="L266" s="2">
        <v>139.5</v>
      </c>
      <c r="R266" s="24">
        <v>45</v>
      </c>
      <c r="S266" s="24">
        <v>137.0470871280786</v>
      </c>
      <c r="T266" s="24">
        <v>6.4529128719213986</v>
      </c>
      <c r="U266" s="24">
        <v>1.3486221846479249</v>
      </c>
      <c r="V266" s="24"/>
      <c r="W266" s="24">
        <v>37.083333333333336</v>
      </c>
      <c r="X266" s="24">
        <v>131.5</v>
      </c>
      <c r="Y266" s="24"/>
      <c r="Z266" s="24"/>
    </row>
    <row r="267" spans="11:26" ht="28.2" customHeight="1" x14ac:dyDescent="0.3">
      <c r="K267" s="2">
        <v>146</v>
      </c>
      <c r="L267" s="2">
        <v>128.5</v>
      </c>
      <c r="R267" s="24">
        <v>46</v>
      </c>
      <c r="S267" s="24">
        <v>140.20336370840107</v>
      </c>
      <c r="T267" s="24">
        <v>3.2966362915989293</v>
      </c>
      <c r="U267" s="24">
        <v>0.68897828404151074</v>
      </c>
      <c r="V267" s="24"/>
      <c r="W267" s="24">
        <v>37.916666666666664</v>
      </c>
      <c r="X267" s="24">
        <v>132</v>
      </c>
      <c r="Y267" s="24"/>
      <c r="Z267" s="24"/>
    </row>
    <row r="268" spans="11:26" ht="28.2" customHeight="1" x14ac:dyDescent="0.3">
      <c r="K268" s="2">
        <v>144</v>
      </c>
      <c r="L268" s="2">
        <v>132</v>
      </c>
      <c r="R268" s="24">
        <v>47</v>
      </c>
      <c r="S268" s="24">
        <v>133.25955523169168</v>
      </c>
      <c r="T268" s="24">
        <v>2.740444768308322</v>
      </c>
      <c r="U268" s="24">
        <v>0.5727374107939085</v>
      </c>
      <c r="V268" s="24"/>
      <c r="W268" s="24">
        <v>38.75</v>
      </c>
      <c r="X268" s="24">
        <v>132</v>
      </c>
      <c r="Y268" s="24"/>
      <c r="Z268" s="24"/>
    </row>
    <row r="269" spans="11:26" ht="28.2" customHeight="1" x14ac:dyDescent="0.3">
      <c r="K269" s="2">
        <v>152</v>
      </c>
      <c r="L269" s="2">
        <v>133.5</v>
      </c>
      <c r="R269" s="24">
        <v>48</v>
      </c>
      <c r="S269" s="24">
        <v>134.2064382057884</v>
      </c>
      <c r="T269" s="24">
        <v>-1.2064382057884018</v>
      </c>
      <c r="U269" s="24">
        <v>-0.25213874122069441</v>
      </c>
      <c r="V269" s="24"/>
      <c r="W269" s="24">
        <v>39.583333333333336</v>
      </c>
      <c r="X269" s="24">
        <v>132</v>
      </c>
      <c r="Y269" s="24"/>
      <c r="Z269" s="24"/>
    </row>
    <row r="270" spans="11:26" ht="28.2" customHeight="1" x14ac:dyDescent="0.3">
      <c r="K270" s="2">
        <v>148.5</v>
      </c>
      <c r="L270" s="2">
        <v>139</v>
      </c>
      <c r="R270" s="24">
        <v>49</v>
      </c>
      <c r="S270" s="24">
        <v>133.89081054775616</v>
      </c>
      <c r="T270" s="24">
        <v>-3.3908105477561605</v>
      </c>
      <c r="U270" s="24">
        <v>-0.70866016935395593</v>
      </c>
      <c r="V270" s="24"/>
      <c r="W270" s="24">
        <v>40.416666666666664</v>
      </c>
      <c r="X270" s="24">
        <v>132</v>
      </c>
      <c r="Y270" s="24"/>
      <c r="Z270" s="24"/>
    </row>
    <row r="271" spans="11:26" ht="28.2" customHeight="1" x14ac:dyDescent="0.3">
      <c r="K271" s="2">
        <v>148</v>
      </c>
      <c r="L271" s="2">
        <v>123</v>
      </c>
      <c r="R271" s="24">
        <v>50</v>
      </c>
      <c r="S271" s="24">
        <v>132.62829991562717</v>
      </c>
      <c r="T271" s="24">
        <v>-0.12829991562716714</v>
      </c>
      <c r="U271" s="24">
        <v>-2.6813954556267595E-2</v>
      </c>
      <c r="V271" s="24"/>
      <c r="W271" s="24">
        <v>41.25</v>
      </c>
      <c r="X271" s="24">
        <v>132</v>
      </c>
      <c r="Y271" s="24"/>
      <c r="Z271" s="24"/>
    </row>
    <row r="272" spans="11:26" ht="28.2" customHeight="1" x14ac:dyDescent="0.3">
      <c r="K272" s="2">
        <v>155</v>
      </c>
      <c r="L272" s="2">
        <v>132</v>
      </c>
      <c r="R272" s="24">
        <v>51</v>
      </c>
      <c r="S272" s="24">
        <v>133.57518288972392</v>
      </c>
      <c r="T272" s="24">
        <v>7.4248171102760807</v>
      </c>
      <c r="U272" s="24">
        <v>1.5517446571210718</v>
      </c>
      <c r="V272" s="24"/>
      <c r="W272" s="24">
        <v>42.083333333333336</v>
      </c>
      <c r="X272" s="24">
        <v>132</v>
      </c>
      <c r="Y272" s="24"/>
      <c r="Z272" s="24"/>
    </row>
    <row r="273" spans="11:26" ht="28.2" customHeight="1" x14ac:dyDescent="0.3">
      <c r="K273" s="2">
        <v>145</v>
      </c>
      <c r="L273" s="2">
        <v>129.5</v>
      </c>
      <c r="R273" s="24">
        <v>52</v>
      </c>
      <c r="S273" s="24">
        <v>134.52206586382067</v>
      </c>
      <c r="T273" s="24">
        <v>-1.0220658638206714</v>
      </c>
      <c r="U273" s="24">
        <v>-0.21360596764256021</v>
      </c>
      <c r="V273" s="24"/>
      <c r="W273" s="24">
        <v>42.916666666666664</v>
      </c>
      <c r="X273" s="24">
        <v>132</v>
      </c>
      <c r="Y273" s="24"/>
      <c r="Z273" s="24"/>
    </row>
    <row r="274" spans="11:26" ht="28.2" customHeight="1" x14ac:dyDescent="0.3">
      <c r="K274" s="2">
        <v>150</v>
      </c>
      <c r="L274" s="2">
        <v>134.5</v>
      </c>
      <c r="R274" s="24">
        <v>53</v>
      </c>
      <c r="S274" s="24">
        <v>131.68141694153044</v>
      </c>
      <c r="T274" s="24">
        <v>-0.68141694153044341</v>
      </c>
      <c r="U274" s="24">
        <v>-0.14241227529068795</v>
      </c>
      <c r="V274" s="24"/>
      <c r="W274" s="24">
        <v>43.75</v>
      </c>
      <c r="X274" s="24">
        <v>132.5</v>
      </c>
      <c r="Y274" s="24"/>
      <c r="Z274" s="24"/>
    </row>
    <row r="275" spans="11:26" ht="28.2" customHeight="1" x14ac:dyDescent="0.3">
      <c r="K275" s="2">
        <v>145</v>
      </c>
      <c r="L275" s="2">
        <v>131</v>
      </c>
      <c r="R275" s="24">
        <v>54</v>
      </c>
      <c r="S275" s="24">
        <v>132.31267225759495</v>
      </c>
      <c r="T275" s="24">
        <v>1.6873277424050457</v>
      </c>
      <c r="U275" s="24">
        <v>0.3526419264207078</v>
      </c>
      <c r="V275" s="24"/>
      <c r="W275" s="24">
        <v>44.583333333333336</v>
      </c>
      <c r="X275" s="24">
        <v>132.5</v>
      </c>
      <c r="Y275" s="24"/>
      <c r="Z275" s="24"/>
    </row>
    <row r="276" spans="11:26" ht="28.2" customHeight="1" x14ac:dyDescent="0.3">
      <c r="K276" s="2">
        <v>150.5</v>
      </c>
      <c r="L276" s="2">
        <v>139.5</v>
      </c>
      <c r="R276" s="24">
        <v>55</v>
      </c>
      <c r="S276" s="24">
        <v>138.94085307627208</v>
      </c>
      <c r="T276" s="24">
        <v>11.059146923727923</v>
      </c>
      <c r="U276" s="24">
        <v>2.3112989715882222</v>
      </c>
      <c r="V276" s="24"/>
      <c r="W276" s="24">
        <v>45.416666666666664</v>
      </c>
      <c r="X276" s="24">
        <v>132.5</v>
      </c>
      <c r="Y276" s="24"/>
      <c r="Z276" s="24"/>
    </row>
    <row r="277" spans="11:26" ht="28.2" customHeight="1" x14ac:dyDescent="0.3">
      <c r="K277" s="2">
        <v>159</v>
      </c>
      <c r="L277" s="2">
        <v>134.5</v>
      </c>
      <c r="R277" s="24">
        <v>56</v>
      </c>
      <c r="S277" s="24">
        <v>134.2064382057884</v>
      </c>
      <c r="T277" s="24">
        <v>-1.7064382057884018</v>
      </c>
      <c r="U277" s="24">
        <v>-0.35663590485947477</v>
      </c>
      <c r="V277" s="24"/>
      <c r="W277" s="24">
        <v>46.25</v>
      </c>
      <c r="X277" s="24">
        <v>132.5</v>
      </c>
      <c r="Y277" s="24"/>
      <c r="Z277" s="24"/>
    </row>
    <row r="278" spans="11:26" ht="28.2" customHeight="1" x14ac:dyDescent="0.3">
      <c r="K278" s="2">
        <v>149</v>
      </c>
      <c r="L278" s="2">
        <v>131.5</v>
      </c>
      <c r="R278" s="24">
        <v>57</v>
      </c>
      <c r="S278" s="24">
        <v>137.67834244414308</v>
      </c>
      <c r="T278" s="24">
        <v>-5.1783424441430839</v>
      </c>
      <c r="U278" s="24">
        <v>-1.0822441955265234</v>
      </c>
      <c r="V278" s="24"/>
      <c r="W278" s="24">
        <v>47.083333333333336</v>
      </c>
      <c r="X278" s="24">
        <v>132.5</v>
      </c>
      <c r="Y278" s="24"/>
      <c r="Z278" s="24"/>
    </row>
    <row r="279" spans="11:26" ht="28.2" customHeight="1" x14ac:dyDescent="0.3">
      <c r="K279" s="2">
        <v>145.5</v>
      </c>
      <c r="L279" s="2">
        <v>138.5</v>
      </c>
      <c r="R279" s="24">
        <v>58</v>
      </c>
      <c r="S279" s="24">
        <v>132.31267225759495</v>
      </c>
      <c r="T279" s="24">
        <v>10.687327742405046</v>
      </c>
      <c r="U279" s="24">
        <v>2.2335908719187541</v>
      </c>
      <c r="V279" s="24"/>
      <c r="W279" s="24">
        <v>47.916666666666664</v>
      </c>
      <c r="X279" s="24">
        <v>133</v>
      </c>
      <c r="Y279" s="24"/>
      <c r="Z279" s="24"/>
    </row>
    <row r="280" spans="11:26" ht="28.2" customHeight="1" x14ac:dyDescent="0.3">
      <c r="K280" s="2">
        <v>151</v>
      </c>
      <c r="L280" s="2">
        <v>133</v>
      </c>
      <c r="R280" s="24">
        <v>59</v>
      </c>
      <c r="S280" s="24">
        <v>133.57518288972392</v>
      </c>
      <c r="T280" s="24">
        <v>3.9248171102760807</v>
      </c>
      <c r="U280" s="24">
        <v>0.82026451164960934</v>
      </c>
      <c r="V280" s="24"/>
      <c r="W280" s="24">
        <v>48.75</v>
      </c>
      <c r="X280" s="24">
        <v>133</v>
      </c>
      <c r="Y280" s="24"/>
      <c r="Z280" s="24"/>
    </row>
    <row r="281" spans="11:26" ht="28.2" customHeight="1" x14ac:dyDescent="0.3">
      <c r="K281" s="2">
        <v>149.5</v>
      </c>
      <c r="L281" s="2">
        <v>131</v>
      </c>
      <c r="R281" s="24">
        <v>60</v>
      </c>
      <c r="S281" s="24">
        <v>133.25955523169168</v>
      </c>
      <c r="T281" s="24">
        <v>-6.759555231691678</v>
      </c>
      <c r="U281" s="24">
        <v>-1.4127086983429182</v>
      </c>
      <c r="V281" s="24"/>
      <c r="W281" s="24">
        <v>49.583333333333336</v>
      </c>
      <c r="X281" s="24">
        <v>133</v>
      </c>
      <c r="Y281" s="24"/>
      <c r="Z281" s="24"/>
    </row>
    <row r="282" spans="11:26" ht="28.2" customHeight="1" x14ac:dyDescent="0.3">
      <c r="K282" s="2">
        <v>150</v>
      </c>
      <c r="L282" s="2">
        <v>134.5</v>
      </c>
      <c r="R282" s="24">
        <v>61</v>
      </c>
      <c r="S282" s="24">
        <v>130.73453396743372</v>
      </c>
      <c r="T282" s="24">
        <v>5.2654660325662803</v>
      </c>
      <c r="U282" s="24">
        <v>1.1004525312790363</v>
      </c>
      <c r="V282" s="24"/>
      <c r="W282" s="24">
        <v>50.416666666666664</v>
      </c>
      <c r="X282" s="24">
        <v>133</v>
      </c>
      <c r="Y282" s="24"/>
      <c r="Z282" s="24"/>
    </row>
    <row r="283" spans="11:26" ht="28.2" customHeight="1" x14ac:dyDescent="0.3">
      <c r="K283" s="2">
        <v>153.5</v>
      </c>
      <c r="L283" s="2">
        <v>132</v>
      </c>
      <c r="R283" s="24">
        <v>62</v>
      </c>
      <c r="S283" s="24">
        <v>132.31267225759495</v>
      </c>
      <c r="T283" s="24">
        <v>8.1873277424050457</v>
      </c>
      <c r="U283" s="24">
        <v>1.7111050537248524</v>
      </c>
      <c r="V283" s="24"/>
      <c r="W283" s="24">
        <v>51.25</v>
      </c>
      <c r="X283" s="24">
        <v>133.5</v>
      </c>
      <c r="Y283" s="24"/>
      <c r="Z283" s="24"/>
    </row>
    <row r="284" spans="11:26" ht="28.2" customHeight="1" x14ac:dyDescent="0.3">
      <c r="K284" s="2">
        <v>147.5</v>
      </c>
      <c r="L284" s="2">
        <v>127</v>
      </c>
      <c r="R284" s="24">
        <v>63</v>
      </c>
      <c r="S284" s="24">
        <v>132.62829991562717</v>
      </c>
      <c r="T284" s="24">
        <v>1.8717000843728329</v>
      </c>
      <c r="U284" s="24">
        <v>0.39117469999885385</v>
      </c>
      <c r="V284" s="24"/>
      <c r="W284" s="24">
        <v>52.083333333333336</v>
      </c>
      <c r="X284" s="24">
        <v>133.5</v>
      </c>
      <c r="Y284" s="24"/>
      <c r="Z284" s="24"/>
    </row>
    <row r="285" spans="11:26" ht="28.2" customHeight="1" x14ac:dyDescent="0.3">
      <c r="K285" s="2">
        <v>147.5</v>
      </c>
      <c r="L285" s="2">
        <v>133.5</v>
      </c>
      <c r="R285" s="24">
        <v>64</v>
      </c>
      <c r="S285" s="24">
        <v>138.62522541823984</v>
      </c>
      <c r="T285" s="24">
        <v>-1.125225418239836</v>
      </c>
      <c r="U285" s="24">
        <v>-0.23516572932064642</v>
      </c>
      <c r="V285" s="24"/>
      <c r="W285" s="24">
        <v>52.916666666666664</v>
      </c>
      <c r="X285" s="24">
        <v>133.5</v>
      </c>
      <c r="Y285" s="24"/>
      <c r="Z285" s="24"/>
    </row>
    <row r="286" spans="11:26" ht="28.2" customHeight="1" x14ac:dyDescent="0.3">
      <c r="K286" s="2">
        <v>150</v>
      </c>
      <c r="L286" s="2">
        <v>139.5</v>
      </c>
      <c r="R286" s="24">
        <v>65</v>
      </c>
      <c r="S286" s="24">
        <v>127.26262972907902</v>
      </c>
      <c r="T286" s="24">
        <v>-3.2626297290790234</v>
      </c>
      <c r="U286" s="24">
        <v>-0.68187110538464069</v>
      </c>
      <c r="V286" s="24"/>
      <c r="W286" s="24">
        <v>53.75</v>
      </c>
      <c r="X286" s="24">
        <v>133.5</v>
      </c>
      <c r="Y286" s="24"/>
      <c r="Z286" s="24"/>
    </row>
    <row r="287" spans="11:26" ht="28.2" customHeight="1" x14ac:dyDescent="0.3">
      <c r="K287" s="2">
        <v>152</v>
      </c>
      <c r="L287" s="2">
        <v>132</v>
      </c>
      <c r="R287" s="24">
        <v>66</v>
      </c>
      <c r="S287" s="24">
        <v>134.83769352185288</v>
      </c>
      <c r="T287" s="24">
        <v>-8.3376935218528843</v>
      </c>
      <c r="U287" s="24">
        <v>-1.7425306486461196</v>
      </c>
      <c r="V287" s="24"/>
      <c r="W287" s="24">
        <v>54.583333333333336</v>
      </c>
      <c r="X287" s="24">
        <v>133.5</v>
      </c>
      <c r="Y287" s="24"/>
      <c r="Z287" s="24"/>
    </row>
    <row r="288" spans="11:26" ht="28.2" customHeight="1" x14ac:dyDescent="0.3">
      <c r="K288" s="2">
        <v>143</v>
      </c>
      <c r="L288" s="2">
        <v>128.5</v>
      </c>
      <c r="R288" s="24">
        <v>67</v>
      </c>
      <c r="S288" s="24">
        <v>136.10020415398188</v>
      </c>
      <c r="T288" s="24">
        <v>-5.6002041539818777</v>
      </c>
      <c r="U288" s="24">
        <v>-1.1704108997784435</v>
      </c>
      <c r="V288" s="24"/>
      <c r="W288" s="24">
        <v>55.416666666666664</v>
      </c>
      <c r="X288" s="24">
        <v>133.5</v>
      </c>
      <c r="Y288" s="24"/>
      <c r="Z288" s="24"/>
    </row>
    <row r="289" spans="11:26" ht="28.2" customHeight="1" x14ac:dyDescent="0.3">
      <c r="K289" s="2">
        <v>145.5</v>
      </c>
      <c r="L289" s="2">
        <v>131</v>
      </c>
      <c r="R289" s="24">
        <v>68</v>
      </c>
      <c r="S289" s="24">
        <v>131.99704459956268</v>
      </c>
      <c r="T289" s="24">
        <v>7.5029554004373153</v>
      </c>
      <c r="U289" s="24">
        <v>1.5680751165079378</v>
      </c>
      <c r="V289" s="24"/>
      <c r="W289" s="24">
        <v>56.25</v>
      </c>
      <c r="X289" s="24">
        <v>133.5</v>
      </c>
      <c r="Y289" s="24"/>
      <c r="Z289" s="24"/>
    </row>
    <row r="290" spans="11:26" ht="28.2" customHeight="1" x14ac:dyDescent="0.3">
      <c r="K290" s="2">
        <v>148.5</v>
      </c>
      <c r="L290" s="2">
        <v>130</v>
      </c>
      <c r="R290" s="24">
        <v>69</v>
      </c>
      <c r="S290" s="24">
        <v>130.41890630940145</v>
      </c>
      <c r="T290" s="24">
        <v>-1.91890630940145</v>
      </c>
      <c r="U290" s="24">
        <v>-0.40104053324202282</v>
      </c>
      <c r="V290" s="24"/>
      <c r="W290" s="24">
        <v>57.083333333333336</v>
      </c>
      <c r="X290" s="24">
        <v>133.5</v>
      </c>
      <c r="Y290" s="24"/>
      <c r="Z290" s="24"/>
    </row>
    <row r="291" spans="11:26" ht="28.2" customHeight="1" x14ac:dyDescent="0.3">
      <c r="K291" s="2">
        <v>151.5</v>
      </c>
      <c r="L291" s="2">
        <v>120</v>
      </c>
      <c r="R291" s="24">
        <v>70</v>
      </c>
      <c r="S291" s="24">
        <v>129.15639567727249</v>
      </c>
      <c r="T291" s="24">
        <v>2.843604322727515</v>
      </c>
      <c r="U291" s="24">
        <v>0.59429717247200065</v>
      </c>
      <c r="V291" s="24"/>
      <c r="W291" s="24">
        <v>57.916666666666664</v>
      </c>
      <c r="X291" s="24">
        <v>134</v>
      </c>
      <c r="Y291" s="24"/>
      <c r="Z291" s="24"/>
    </row>
    <row r="292" spans="11:26" ht="28.2" customHeight="1" x14ac:dyDescent="0.3">
      <c r="K292" s="2">
        <v>142</v>
      </c>
      <c r="L292" s="2">
        <v>125</v>
      </c>
      <c r="R292" s="24">
        <v>71</v>
      </c>
      <c r="S292" s="24">
        <v>134.2064382057884</v>
      </c>
      <c r="T292" s="24">
        <v>-0.70643820578840177</v>
      </c>
      <c r="U292" s="24">
        <v>-0.14764157758191404</v>
      </c>
      <c r="V292" s="24"/>
      <c r="W292" s="24">
        <v>58.75</v>
      </c>
      <c r="X292" s="24">
        <v>134</v>
      </c>
      <c r="Y292" s="24"/>
      <c r="Z292" s="24"/>
    </row>
    <row r="293" spans="11:26" ht="28.2" customHeight="1" x14ac:dyDescent="0.3">
      <c r="K293" s="2">
        <v>149</v>
      </c>
      <c r="L293" s="2">
        <v>130.5</v>
      </c>
      <c r="R293" s="24">
        <v>72</v>
      </c>
      <c r="S293" s="24">
        <v>131.99704459956268</v>
      </c>
      <c r="T293" s="24">
        <v>7.0029554004373153</v>
      </c>
      <c r="U293" s="24">
        <v>1.4635779528691575</v>
      </c>
      <c r="V293" s="24"/>
      <c r="W293" s="24">
        <v>59.583333333333336</v>
      </c>
      <c r="X293" s="24">
        <v>134.5</v>
      </c>
      <c r="Y293" s="24"/>
      <c r="Z293" s="24"/>
    </row>
    <row r="294" spans="11:26" ht="28.2" customHeight="1" x14ac:dyDescent="0.3">
      <c r="K294" s="2">
        <v>153</v>
      </c>
      <c r="L294" s="2">
        <v>136</v>
      </c>
      <c r="R294" s="24">
        <v>73</v>
      </c>
      <c r="S294" s="24">
        <v>131.68141694153044</v>
      </c>
      <c r="T294" s="24">
        <v>-8.6814169415304434</v>
      </c>
      <c r="U294" s="24">
        <v>-1.8143668935111736</v>
      </c>
      <c r="V294" s="24"/>
      <c r="W294" s="24">
        <v>60.416666666666664</v>
      </c>
      <c r="X294" s="24">
        <v>134.5</v>
      </c>
      <c r="Y294" s="24"/>
      <c r="Z294" s="24"/>
    </row>
    <row r="295" spans="11:26" ht="28.2" customHeight="1" x14ac:dyDescent="0.3">
      <c r="K295" s="2">
        <v>146.5</v>
      </c>
      <c r="L295" s="2">
        <v>132.5</v>
      </c>
      <c r="R295" s="24">
        <v>74</v>
      </c>
      <c r="S295" s="24">
        <v>136.10020415398188</v>
      </c>
      <c r="T295" s="24">
        <v>-4.1002041539818777</v>
      </c>
      <c r="U295" s="24">
        <v>-0.85691940886210249</v>
      </c>
      <c r="V295" s="24"/>
      <c r="W295" s="24">
        <v>61.25</v>
      </c>
      <c r="X295" s="24">
        <v>134.5</v>
      </c>
      <c r="Y295" s="24"/>
      <c r="Z295" s="24"/>
    </row>
    <row r="296" spans="11:26" ht="28.2" customHeight="1" x14ac:dyDescent="0.3">
      <c r="K296" s="2">
        <v>151.5</v>
      </c>
      <c r="L296" s="2">
        <v>124</v>
      </c>
      <c r="R296" s="24">
        <v>75</v>
      </c>
      <c r="S296" s="24">
        <v>129.78765099333697</v>
      </c>
      <c r="T296" s="24">
        <v>-0.28765099333696753</v>
      </c>
      <c r="U296" s="24">
        <v>-6.0117425843181631E-2</v>
      </c>
      <c r="V296" s="24"/>
      <c r="W296" s="24">
        <v>62.083333333333336</v>
      </c>
      <c r="X296" s="24">
        <v>134.5</v>
      </c>
      <c r="Y296" s="24"/>
      <c r="Z296" s="24"/>
    </row>
    <row r="297" spans="11:26" ht="28.2" customHeight="1" x14ac:dyDescent="0.3">
      <c r="K297" s="2">
        <v>149</v>
      </c>
      <c r="L297" s="2">
        <v>128</v>
      </c>
      <c r="R297" s="24">
        <v>76</v>
      </c>
      <c r="S297" s="24">
        <v>132.94392757365944</v>
      </c>
      <c r="T297" s="24">
        <v>1.5560724263405632</v>
      </c>
      <c r="U297" s="24">
        <v>0.32521030993820765</v>
      </c>
      <c r="V297" s="24"/>
      <c r="W297" s="24">
        <v>62.916666666666664</v>
      </c>
      <c r="X297" s="24">
        <v>134.5</v>
      </c>
      <c r="Y297" s="24"/>
      <c r="Z297" s="24"/>
    </row>
    <row r="298" spans="11:26" ht="28.2" customHeight="1" x14ac:dyDescent="0.3">
      <c r="K298" s="2">
        <v>141.5</v>
      </c>
      <c r="L298" s="2">
        <v>124</v>
      </c>
      <c r="R298" s="24">
        <v>77</v>
      </c>
      <c r="S298" s="24">
        <v>129.78765099333697</v>
      </c>
      <c r="T298" s="24">
        <v>1.2123490066630325</v>
      </c>
      <c r="U298" s="24">
        <v>0.25337406507315946</v>
      </c>
      <c r="V298" s="24"/>
      <c r="W298" s="24">
        <v>63.75</v>
      </c>
      <c r="X298" s="24">
        <v>134.5</v>
      </c>
      <c r="Y298" s="24"/>
      <c r="Z298" s="24"/>
    </row>
    <row r="299" spans="11:26" ht="28.2" customHeight="1" x14ac:dyDescent="0.3">
      <c r="K299" s="2">
        <v>148.5</v>
      </c>
      <c r="L299" s="2">
        <v>131.5</v>
      </c>
      <c r="R299" s="24">
        <v>78</v>
      </c>
      <c r="S299" s="24">
        <v>133.25955523169168</v>
      </c>
      <c r="T299" s="24">
        <v>6.240444768308322</v>
      </c>
      <c r="U299" s="24">
        <v>1.3042175562653711</v>
      </c>
      <c r="V299" s="24"/>
      <c r="W299" s="24">
        <v>64.583333333333343</v>
      </c>
      <c r="X299" s="24">
        <v>135</v>
      </c>
      <c r="Y299" s="24"/>
      <c r="Z299" s="24"/>
    </row>
    <row r="300" spans="11:26" ht="28.2" customHeight="1" x14ac:dyDescent="0.3">
      <c r="K300" s="2">
        <v>143.5</v>
      </c>
      <c r="L300" s="2">
        <v>129.5</v>
      </c>
      <c r="R300" s="24">
        <v>79</v>
      </c>
      <c r="S300" s="24">
        <v>138.62522541823984</v>
      </c>
      <c r="T300" s="24">
        <v>-4.125225418239836</v>
      </c>
      <c r="U300" s="24">
        <v>-0.86214871115332858</v>
      </c>
      <c r="V300" s="24"/>
      <c r="W300" s="24">
        <v>65.416666666666671</v>
      </c>
      <c r="X300" s="24">
        <v>135</v>
      </c>
      <c r="Y300" s="24"/>
      <c r="Z300" s="24"/>
    </row>
    <row r="301" spans="11:26" ht="28.2" customHeight="1" x14ac:dyDescent="0.3">
      <c r="K301" s="2">
        <v>147.5</v>
      </c>
      <c r="L301" s="2">
        <v>132</v>
      </c>
      <c r="R301" s="24">
        <v>80</v>
      </c>
      <c r="S301" s="24">
        <v>132.31267225759495</v>
      </c>
      <c r="T301" s="24">
        <v>-0.81267225759495432</v>
      </c>
      <c r="U301" s="24">
        <v>-0.16984389177319401</v>
      </c>
      <c r="V301" s="24"/>
      <c r="W301" s="24">
        <v>66.250000000000014</v>
      </c>
      <c r="X301" s="24">
        <v>136</v>
      </c>
      <c r="Y301" s="24"/>
      <c r="Z301" s="24"/>
    </row>
    <row r="302" spans="11:26" ht="28.2" customHeight="1" x14ac:dyDescent="0.3">
      <c r="K302" s="2">
        <v>140.5</v>
      </c>
      <c r="L302" s="2">
        <v>136</v>
      </c>
      <c r="R302" s="24">
        <v>81</v>
      </c>
      <c r="S302" s="24">
        <v>130.10327865136924</v>
      </c>
      <c r="T302" s="24">
        <v>8.3967213486307628</v>
      </c>
      <c r="U302" s="24">
        <v>1.7548671295942186</v>
      </c>
      <c r="V302" s="24"/>
      <c r="W302" s="24">
        <v>67.083333333333343</v>
      </c>
      <c r="X302" s="24">
        <v>136</v>
      </c>
      <c r="Y302" s="24"/>
      <c r="Z302" s="24"/>
    </row>
    <row r="303" spans="11:26" ht="28.2" customHeight="1" x14ac:dyDescent="0.3">
      <c r="K303" s="2">
        <v>143</v>
      </c>
      <c r="L303" s="2">
        <v>124.5</v>
      </c>
      <c r="R303" s="24">
        <v>82</v>
      </c>
      <c r="S303" s="24">
        <v>133.57518288972392</v>
      </c>
      <c r="T303" s="24">
        <v>-0.57518288972391929</v>
      </c>
      <c r="U303" s="24">
        <v>-0.1202099610994139</v>
      </c>
      <c r="V303" s="24"/>
      <c r="W303" s="24">
        <v>67.916666666666671</v>
      </c>
      <c r="X303" s="24">
        <v>136</v>
      </c>
      <c r="Y303" s="24"/>
      <c r="Z303" s="24"/>
    </row>
    <row r="304" spans="11:26" ht="28.2" customHeight="1" x14ac:dyDescent="0.3">
      <c r="K304" s="2">
        <v>147</v>
      </c>
      <c r="L304" s="2">
        <v>120.5</v>
      </c>
      <c r="R304" s="24">
        <v>83</v>
      </c>
      <c r="S304" s="24">
        <v>132.62829991562717</v>
      </c>
      <c r="T304" s="24">
        <v>-1.6282999156271671</v>
      </c>
      <c r="U304" s="24">
        <v>-0.34030544547260866</v>
      </c>
      <c r="V304" s="24"/>
      <c r="W304" s="24">
        <v>68.750000000000014</v>
      </c>
      <c r="X304" s="24">
        <v>136</v>
      </c>
      <c r="Y304" s="24"/>
      <c r="Z304" s="24"/>
    </row>
    <row r="305" spans="11:26" ht="28.2" customHeight="1" x14ac:dyDescent="0.3">
      <c r="K305" s="2">
        <v>144</v>
      </c>
      <c r="L305" s="2">
        <v>129.5</v>
      </c>
      <c r="R305" s="24">
        <v>84</v>
      </c>
      <c r="S305" s="24">
        <v>132.94392757365944</v>
      </c>
      <c r="T305" s="24">
        <v>1.5560724263405632</v>
      </c>
      <c r="U305" s="24">
        <v>0.32521030993820765</v>
      </c>
      <c r="V305" s="24"/>
      <c r="W305" s="24">
        <v>69.583333333333343</v>
      </c>
      <c r="X305" s="24">
        <v>136</v>
      </c>
      <c r="Y305" s="24"/>
      <c r="Z305" s="24"/>
    </row>
    <row r="306" spans="11:26" ht="28.2" customHeight="1" x14ac:dyDescent="0.3">
      <c r="K306" s="2">
        <v>147</v>
      </c>
      <c r="L306" s="2">
        <v>133.5</v>
      </c>
      <c r="R306" s="24">
        <v>85</v>
      </c>
      <c r="S306" s="24">
        <v>135.15332117988515</v>
      </c>
      <c r="T306" s="24">
        <v>-3.1533211798851539</v>
      </c>
      <c r="U306" s="24">
        <v>-0.65902623868018173</v>
      </c>
      <c r="V306" s="24"/>
      <c r="W306" s="24">
        <v>70.416666666666671</v>
      </c>
      <c r="X306" s="24">
        <v>137</v>
      </c>
      <c r="Y306" s="24"/>
      <c r="Z306" s="24"/>
    </row>
    <row r="307" spans="11:26" ht="28.2" customHeight="1" x14ac:dyDescent="0.3">
      <c r="K307" s="2">
        <v>143</v>
      </c>
      <c r="L307" s="2">
        <v>127.5</v>
      </c>
      <c r="R307" s="24">
        <v>86</v>
      </c>
      <c r="S307" s="24">
        <v>131.3657892834982</v>
      </c>
      <c r="T307" s="24">
        <v>-4.3657892834982022</v>
      </c>
      <c r="U307" s="24">
        <v>-0.91242519434029057</v>
      </c>
      <c r="V307" s="24"/>
      <c r="W307" s="24">
        <v>71.250000000000014</v>
      </c>
      <c r="X307" s="24">
        <v>137</v>
      </c>
      <c r="Y307" s="24"/>
      <c r="Z307" s="24"/>
    </row>
    <row r="308" spans="11:26" ht="28.2" customHeight="1" x14ac:dyDescent="0.3">
      <c r="K308" s="2">
        <v>143.5</v>
      </c>
      <c r="L308" s="2">
        <v>123</v>
      </c>
      <c r="R308" s="24">
        <v>87</v>
      </c>
      <c r="S308" s="24">
        <v>131.3657892834982</v>
      </c>
      <c r="T308" s="24">
        <v>2.1342107165017978</v>
      </c>
      <c r="U308" s="24">
        <v>0.44603793296385408</v>
      </c>
      <c r="V308" s="24"/>
      <c r="W308" s="24">
        <v>72.083333333333343</v>
      </c>
      <c r="X308" s="24">
        <v>137</v>
      </c>
      <c r="Y308" s="24"/>
      <c r="Z308" s="24"/>
    </row>
    <row r="309" spans="11:26" ht="28.2" customHeight="1" x14ac:dyDescent="0.3">
      <c r="K309" s="2">
        <v>146.5</v>
      </c>
      <c r="L309" s="2">
        <v>124</v>
      </c>
      <c r="R309" s="24">
        <v>88</v>
      </c>
      <c r="S309" s="24">
        <v>132.94392757365944</v>
      </c>
      <c r="T309" s="24">
        <v>6.5560724263405632</v>
      </c>
      <c r="U309" s="24">
        <v>1.3701819463260112</v>
      </c>
      <c r="V309" s="24"/>
      <c r="W309" s="24">
        <v>72.916666666666671</v>
      </c>
      <c r="X309" s="24">
        <v>137.5</v>
      </c>
      <c r="Y309" s="24"/>
      <c r="Z309" s="24"/>
    </row>
    <row r="310" spans="11:26" ht="28.2" customHeight="1" x14ac:dyDescent="0.3">
      <c r="K310" s="2">
        <v>140</v>
      </c>
      <c r="L310" s="2">
        <v>124</v>
      </c>
      <c r="R310" s="24">
        <v>89</v>
      </c>
      <c r="S310" s="24">
        <v>134.2064382057884</v>
      </c>
      <c r="T310" s="24">
        <v>-2.2064382057884018</v>
      </c>
      <c r="U310" s="24">
        <v>-0.46113306849825508</v>
      </c>
      <c r="V310" s="24"/>
      <c r="W310" s="24">
        <v>73.750000000000014</v>
      </c>
      <c r="X310" s="24">
        <v>137.5</v>
      </c>
      <c r="Y310" s="24"/>
      <c r="Z310" s="24"/>
    </row>
    <row r="311" spans="11:26" ht="28.2" customHeight="1" x14ac:dyDescent="0.3">
      <c r="K311" s="2">
        <v>139.5</v>
      </c>
      <c r="L311" s="2">
        <v>120.5</v>
      </c>
      <c r="R311" s="24">
        <v>90</v>
      </c>
      <c r="S311" s="24">
        <v>128.525140361208</v>
      </c>
      <c r="T311" s="24">
        <v>-2.514036120800256E-2</v>
      </c>
      <c r="U311" s="24">
        <v>-5.2541928781813787E-3</v>
      </c>
      <c r="V311" s="24"/>
      <c r="W311" s="24">
        <v>74.583333333333343</v>
      </c>
      <c r="X311" s="24">
        <v>137.5</v>
      </c>
      <c r="Y311" s="24"/>
      <c r="Z311" s="24"/>
    </row>
    <row r="312" spans="11:26" ht="28.2" customHeight="1" x14ac:dyDescent="0.3">
      <c r="K312" s="2">
        <v>136</v>
      </c>
      <c r="L312" s="2">
        <v>127</v>
      </c>
      <c r="R312" s="24">
        <v>91</v>
      </c>
      <c r="S312" s="24">
        <v>130.10327865136924</v>
      </c>
      <c r="T312" s="24">
        <v>0.8967213486307628</v>
      </c>
      <c r="U312" s="24">
        <v>0.18740967501251327</v>
      </c>
      <c r="V312" s="24"/>
      <c r="W312" s="24">
        <v>75.416666666666671</v>
      </c>
      <c r="X312" s="24">
        <v>137.5</v>
      </c>
      <c r="Y312" s="24"/>
      <c r="Z312" s="24"/>
    </row>
    <row r="313" spans="11:26" ht="28.2" customHeight="1" x14ac:dyDescent="0.3">
      <c r="K313" s="2">
        <v>147.5</v>
      </c>
      <c r="L313" s="2">
        <v>129</v>
      </c>
      <c r="R313" s="24">
        <v>92</v>
      </c>
      <c r="S313" s="24">
        <v>131.99704459956268</v>
      </c>
      <c r="T313" s="24">
        <v>-1.9970445995626847</v>
      </c>
      <c r="U313" s="24">
        <v>-0.41737099262888894</v>
      </c>
      <c r="V313" s="24"/>
      <c r="W313" s="24">
        <v>76.250000000000014</v>
      </c>
      <c r="X313" s="24">
        <v>138</v>
      </c>
      <c r="Y313" s="24"/>
      <c r="Z313" s="24"/>
    </row>
    <row r="314" spans="11:26" ht="28.2" customHeight="1" x14ac:dyDescent="0.3">
      <c r="K314" s="2">
        <v>141.5</v>
      </c>
      <c r="L314" s="2">
        <v>128.5</v>
      </c>
      <c r="R314" s="24">
        <v>93</v>
      </c>
      <c r="S314" s="24">
        <v>133.89081054775616</v>
      </c>
      <c r="T314" s="24">
        <v>-13.890810547756161</v>
      </c>
      <c r="U314" s="24">
        <v>-2.9031006057683437</v>
      </c>
      <c r="V314" s="24"/>
      <c r="W314" s="24">
        <v>77.083333333333343</v>
      </c>
      <c r="X314" s="24">
        <v>138.5</v>
      </c>
      <c r="Y314" s="24"/>
      <c r="Z314" s="24"/>
    </row>
    <row r="315" spans="11:26" ht="28.2" customHeight="1" x14ac:dyDescent="0.3">
      <c r="K315" s="2">
        <v>146</v>
      </c>
      <c r="L315" s="2">
        <v>128</v>
      </c>
      <c r="R315" s="24">
        <v>94</v>
      </c>
      <c r="S315" s="24">
        <v>127.89388504514351</v>
      </c>
      <c r="T315" s="24">
        <v>-2.8938850451435059</v>
      </c>
      <c r="U315" s="24">
        <v>-0.60480555822836046</v>
      </c>
      <c r="V315" s="24"/>
      <c r="W315" s="24">
        <v>77.916666666666671</v>
      </c>
      <c r="X315" s="24">
        <v>138.5</v>
      </c>
      <c r="Y315" s="24"/>
      <c r="Z315" s="24"/>
    </row>
    <row r="316" spans="11:26" ht="28.2" customHeight="1" x14ac:dyDescent="0.3">
      <c r="K316" s="2">
        <v>136</v>
      </c>
      <c r="L316" s="2">
        <v>128.5</v>
      </c>
      <c r="R316" s="24">
        <v>95</v>
      </c>
      <c r="S316" s="24">
        <v>132.31267225759495</v>
      </c>
      <c r="T316" s="24">
        <v>-1.8126722575949543</v>
      </c>
      <c r="U316" s="24">
        <v>-0.37883821905075471</v>
      </c>
      <c r="V316" s="24"/>
      <c r="W316" s="24">
        <v>78.750000000000014</v>
      </c>
      <c r="X316" s="24">
        <v>138.5</v>
      </c>
      <c r="Y316" s="24"/>
      <c r="Z316" s="24"/>
    </row>
    <row r="317" spans="11:26" ht="28.2" customHeight="1" x14ac:dyDescent="0.3">
      <c r="K317" s="2">
        <v>138.5</v>
      </c>
      <c r="L317" s="2">
        <v>133.5</v>
      </c>
      <c r="R317" s="24">
        <v>96</v>
      </c>
      <c r="S317" s="24">
        <v>134.83769352185288</v>
      </c>
      <c r="T317" s="24">
        <v>1.1623064781471157</v>
      </c>
      <c r="U317" s="24">
        <v>0.24291546049070728</v>
      </c>
      <c r="V317" s="24"/>
      <c r="W317" s="24">
        <v>79.583333333333343</v>
      </c>
      <c r="X317" s="24">
        <v>139</v>
      </c>
      <c r="Y317" s="24"/>
      <c r="Z317" s="24"/>
    </row>
    <row r="318" spans="11:26" ht="28.2" customHeight="1" x14ac:dyDescent="0.3">
      <c r="K318" s="2">
        <v>148.5</v>
      </c>
      <c r="L318" s="2">
        <v>126.5</v>
      </c>
      <c r="R318" s="24">
        <v>97</v>
      </c>
      <c r="S318" s="24">
        <v>130.73453396743372</v>
      </c>
      <c r="T318" s="24">
        <v>1.7654660325662803</v>
      </c>
      <c r="U318" s="24">
        <v>0.36897238580757385</v>
      </c>
      <c r="V318" s="24"/>
      <c r="W318" s="24">
        <v>80.416666666666671</v>
      </c>
      <c r="X318" s="24">
        <v>139</v>
      </c>
      <c r="Y318" s="24"/>
      <c r="Z318" s="24"/>
    </row>
    <row r="319" spans="11:26" ht="28.2" customHeight="1" x14ac:dyDescent="0.3">
      <c r="R319" s="24">
        <v>98</v>
      </c>
      <c r="S319" s="24">
        <v>133.89081054775616</v>
      </c>
      <c r="T319" s="24">
        <v>-9.8908105477561605</v>
      </c>
      <c r="U319" s="24">
        <v>-2.0671232966581008</v>
      </c>
      <c r="V319" s="24"/>
      <c r="W319" s="24">
        <v>81.250000000000014</v>
      </c>
      <c r="X319" s="24">
        <v>139.5</v>
      </c>
      <c r="Y319" s="24"/>
      <c r="Z319" s="24"/>
    </row>
    <row r="320" spans="11:26" ht="28.2" customHeight="1" x14ac:dyDescent="0.3">
      <c r="R320" s="24">
        <v>99</v>
      </c>
      <c r="S320" s="24">
        <v>132.31267225759495</v>
      </c>
      <c r="T320" s="24">
        <v>-4.3126722575949543</v>
      </c>
      <c r="U320" s="24">
        <v>-0.90132403724465648</v>
      </c>
      <c r="V320" s="24"/>
      <c r="W320" s="24">
        <v>82.083333333333343</v>
      </c>
      <c r="X320" s="24">
        <v>139.5</v>
      </c>
      <c r="Y320" s="24"/>
      <c r="Z320" s="24"/>
    </row>
    <row r="321" spans="18:26" ht="28.2" customHeight="1" x14ac:dyDescent="0.3">
      <c r="R321" s="24">
        <v>100</v>
      </c>
      <c r="S321" s="24">
        <v>127.57825738711126</v>
      </c>
      <c r="T321" s="24">
        <v>-3.5782573871112646</v>
      </c>
      <c r="U321" s="24">
        <v>-0.74783549544528094</v>
      </c>
      <c r="V321" s="24"/>
      <c r="W321" s="24">
        <v>82.916666666666671</v>
      </c>
      <c r="X321" s="24">
        <v>139.5</v>
      </c>
      <c r="Y321" s="24"/>
      <c r="Z321" s="24"/>
    </row>
    <row r="322" spans="18:26" ht="28.2" customHeight="1" x14ac:dyDescent="0.3">
      <c r="R322" s="24">
        <v>101</v>
      </c>
      <c r="S322" s="24">
        <v>131.99704459956268</v>
      </c>
      <c r="T322" s="24">
        <v>-0.49704459956268465</v>
      </c>
      <c r="U322" s="24">
        <v>-0.10387950171254783</v>
      </c>
      <c r="V322" s="24"/>
      <c r="W322" s="24">
        <v>83.750000000000014</v>
      </c>
      <c r="X322" s="24">
        <v>140</v>
      </c>
      <c r="Y322" s="24"/>
      <c r="Z322" s="24"/>
    </row>
    <row r="323" spans="18:26" ht="28.2" customHeight="1" x14ac:dyDescent="0.3">
      <c r="R323" s="24">
        <v>102</v>
      </c>
      <c r="S323" s="24">
        <v>128.84076801924024</v>
      </c>
      <c r="T323" s="24">
        <v>0.6592319807597562</v>
      </c>
      <c r="U323" s="24">
        <v>0.1377757443387391</v>
      </c>
      <c r="V323" s="24"/>
      <c r="W323" s="24">
        <v>84.583333333333343</v>
      </c>
      <c r="X323" s="24">
        <v>140</v>
      </c>
      <c r="Y323" s="24"/>
      <c r="Z323" s="24"/>
    </row>
    <row r="324" spans="18:26" ht="28.2" customHeight="1" x14ac:dyDescent="0.3">
      <c r="R324" s="24">
        <v>103</v>
      </c>
      <c r="S324" s="24">
        <v>131.3657892834982</v>
      </c>
      <c r="T324" s="24">
        <v>0.63421071650179783</v>
      </c>
      <c r="U324" s="24">
        <v>0.13254644204751301</v>
      </c>
      <c r="V324" s="24"/>
      <c r="W324" s="24">
        <v>85.416666666666671</v>
      </c>
      <c r="X324" s="24">
        <v>140.5</v>
      </c>
      <c r="Y324" s="24"/>
      <c r="Z324" s="24"/>
    </row>
    <row r="325" spans="18:26" ht="28.2" customHeight="1" x14ac:dyDescent="0.3">
      <c r="R325" s="24">
        <v>104</v>
      </c>
      <c r="S325" s="24">
        <v>126.94700207104678</v>
      </c>
      <c r="T325" s="24">
        <v>9.0529979289532179</v>
      </c>
      <c r="U325" s="24">
        <v>1.8920252120067282</v>
      </c>
      <c r="V325" s="24"/>
      <c r="W325" s="24">
        <v>86.250000000000014</v>
      </c>
      <c r="X325" s="24">
        <v>140.5</v>
      </c>
      <c r="Y325" s="24"/>
      <c r="Z325" s="24"/>
    </row>
    <row r="326" spans="18:26" ht="28.2" customHeight="1" x14ac:dyDescent="0.3">
      <c r="R326" s="24">
        <v>105</v>
      </c>
      <c r="S326" s="24">
        <v>128.525140361208</v>
      </c>
      <c r="T326" s="24">
        <v>-4.0251403612080026</v>
      </c>
      <c r="U326" s="24">
        <v>-0.84123150198842422</v>
      </c>
      <c r="V326" s="24"/>
      <c r="W326" s="24">
        <v>87.083333333333343</v>
      </c>
      <c r="X326" s="24">
        <v>140.5</v>
      </c>
      <c r="Y326" s="24"/>
      <c r="Z326" s="24"/>
    </row>
    <row r="327" spans="18:26" ht="28.2" customHeight="1" x14ac:dyDescent="0.3">
      <c r="R327" s="24">
        <v>106</v>
      </c>
      <c r="S327" s="24">
        <v>131.05016162546596</v>
      </c>
      <c r="T327" s="24">
        <v>-10.550161625465961</v>
      </c>
      <c r="U327" s="24">
        <v>-2.204923931583795</v>
      </c>
      <c r="V327" s="24"/>
      <c r="W327" s="24">
        <v>87.916666666666671</v>
      </c>
      <c r="X327" s="24">
        <v>141</v>
      </c>
      <c r="Y327" s="24"/>
      <c r="Z327" s="24"/>
    </row>
    <row r="328" spans="18:26" ht="28.2" customHeight="1" x14ac:dyDescent="0.3">
      <c r="R328" s="24">
        <v>107</v>
      </c>
      <c r="S328" s="24">
        <v>129.15639567727249</v>
      </c>
      <c r="T328" s="24">
        <v>0.34360432272751495</v>
      </c>
      <c r="U328" s="24">
        <v>7.1811354278098857E-2</v>
      </c>
      <c r="V328" s="24"/>
      <c r="W328" s="24">
        <v>88.750000000000014</v>
      </c>
      <c r="X328" s="24">
        <v>141.5</v>
      </c>
      <c r="Y328" s="24"/>
      <c r="Z328" s="24"/>
    </row>
    <row r="329" spans="18:26" ht="28.2" customHeight="1" x14ac:dyDescent="0.3">
      <c r="R329" s="24">
        <v>108</v>
      </c>
      <c r="S329" s="24">
        <v>131.05016162546596</v>
      </c>
      <c r="T329" s="24">
        <v>2.4498383745340391</v>
      </c>
      <c r="U329" s="24">
        <v>0.51200232302449433</v>
      </c>
      <c r="V329" s="24"/>
      <c r="W329" s="24">
        <v>89.583333333333343</v>
      </c>
      <c r="X329" s="24">
        <v>142</v>
      </c>
      <c r="Y329" s="24"/>
      <c r="Z329" s="24"/>
    </row>
    <row r="330" spans="18:26" ht="28.2" customHeight="1" x14ac:dyDescent="0.3">
      <c r="R330" s="24">
        <v>109</v>
      </c>
      <c r="S330" s="24">
        <v>128.525140361208</v>
      </c>
      <c r="T330" s="24">
        <v>-1.0251403612080026</v>
      </c>
      <c r="U330" s="24">
        <v>-0.21424852015574211</v>
      </c>
      <c r="V330" s="24"/>
      <c r="W330" s="24">
        <v>90.416666666666671</v>
      </c>
      <c r="X330" s="24">
        <v>142</v>
      </c>
      <c r="Y330" s="24"/>
      <c r="Z330" s="24"/>
    </row>
    <row r="331" spans="18:26" ht="28.2" customHeight="1" x14ac:dyDescent="0.3">
      <c r="R331" s="24">
        <v>110</v>
      </c>
      <c r="S331" s="24">
        <v>128.84076801924024</v>
      </c>
      <c r="T331" s="24">
        <v>-5.8407680192402438</v>
      </c>
      <c r="U331" s="24">
        <v>-1.2206873829654057</v>
      </c>
      <c r="V331" s="24"/>
      <c r="W331" s="24">
        <v>91.250000000000014</v>
      </c>
      <c r="X331" s="24">
        <v>142.5</v>
      </c>
      <c r="Y331" s="24"/>
      <c r="Z331" s="24"/>
    </row>
    <row r="332" spans="18:26" ht="28.2" customHeight="1" x14ac:dyDescent="0.3">
      <c r="R332" s="24">
        <v>111</v>
      </c>
      <c r="S332" s="24">
        <v>130.73453396743372</v>
      </c>
      <c r="T332" s="24">
        <v>-6.7345339674337197</v>
      </c>
      <c r="U332" s="24">
        <v>-1.4074793960516923</v>
      </c>
      <c r="V332" s="24"/>
      <c r="W332" s="24">
        <v>92.083333333333343</v>
      </c>
      <c r="X332" s="24">
        <v>143</v>
      </c>
      <c r="Y332" s="24"/>
      <c r="Z332" s="24"/>
    </row>
    <row r="333" spans="18:26" ht="28.2" customHeight="1" x14ac:dyDescent="0.3">
      <c r="R333" s="24">
        <v>112</v>
      </c>
      <c r="S333" s="24">
        <v>126.63137441301453</v>
      </c>
      <c r="T333" s="24">
        <v>-2.6313744130145267</v>
      </c>
      <c r="U333" s="24">
        <v>-0.54994232526335718</v>
      </c>
      <c r="V333" s="24"/>
      <c r="W333" s="24">
        <v>92.916666666666671</v>
      </c>
      <c r="X333" s="24">
        <v>143</v>
      </c>
      <c r="Y333" s="24"/>
      <c r="Z333" s="24"/>
    </row>
    <row r="334" spans="18:26" ht="28.2" customHeight="1" x14ac:dyDescent="0.3">
      <c r="R334" s="24">
        <v>113</v>
      </c>
      <c r="S334" s="24">
        <v>126.31574675498229</v>
      </c>
      <c r="T334" s="24">
        <v>-5.8157467549822854</v>
      </c>
      <c r="U334" s="24">
        <v>-1.2154580806741795</v>
      </c>
      <c r="V334" s="24"/>
      <c r="W334" s="24">
        <v>93.750000000000014</v>
      </c>
      <c r="X334" s="24">
        <v>143</v>
      </c>
      <c r="Y334" s="24"/>
      <c r="Z334" s="24"/>
    </row>
    <row r="335" spans="18:26" ht="28.2" customHeight="1" x14ac:dyDescent="0.3">
      <c r="R335" s="24">
        <v>114</v>
      </c>
      <c r="S335" s="24">
        <v>124.10635314875657</v>
      </c>
      <c r="T335" s="24">
        <v>2.8936468512434317</v>
      </c>
      <c r="U335" s="24">
        <v>0.60475577705445283</v>
      </c>
      <c r="V335" s="24"/>
      <c r="W335" s="24">
        <v>94.583333333333343</v>
      </c>
      <c r="X335" s="24">
        <v>143.5</v>
      </c>
      <c r="Y335" s="24"/>
      <c r="Z335" s="24"/>
    </row>
    <row r="336" spans="18:26" ht="28.2" customHeight="1" x14ac:dyDescent="0.3">
      <c r="R336" s="24">
        <v>115</v>
      </c>
      <c r="S336" s="24">
        <v>131.3657892834982</v>
      </c>
      <c r="T336" s="24">
        <v>-2.3657892834982022</v>
      </c>
      <c r="U336" s="24">
        <v>-0.49443653978516916</v>
      </c>
      <c r="V336" s="24"/>
      <c r="W336" s="24">
        <v>95.416666666666671</v>
      </c>
      <c r="X336" s="24">
        <v>143.5</v>
      </c>
      <c r="Y336" s="24"/>
      <c r="Z336" s="24"/>
    </row>
    <row r="337" spans="11:39" ht="28.2" customHeight="1" x14ac:dyDescent="0.3">
      <c r="R337" s="24">
        <v>116</v>
      </c>
      <c r="S337" s="24">
        <v>127.57825738711126</v>
      </c>
      <c r="T337" s="24">
        <v>0.92174261288873538</v>
      </c>
      <c r="U337" s="24">
        <v>0.19263897730374233</v>
      </c>
      <c r="V337" s="24"/>
      <c r="W337" s="24">
        <v>96.250000000000014</v>
      </c>
      <c r="X337" s="24">
        <v>145.5</v>
      </c>
      <c r="Y337" s="24"/>
      <c r="Z337" s="24"/>
    </row>
    <row r="338" spans="11:39" ht="28.2" customHeight="1" x14ac:dyDescent="0.3">
      <c r="R338" s="24">
        <v>117</v>
      </c>
      <c r="S338" s="24">
        <v>130.41890630940145</v>
      </c>
      <c r="T338" s="24">
        <v>-2.41890630940145</v>
      </c>
      <c r="U338" s="24">
        <v>-0.50553769688080319</v>
      </c>
      <c r="V338" s="24"/>
      <c r="W338" s="24">
        <v>97.083333333333343</v>
      </c>
      <c r="X338" s="24">
        <v>145.5</v>
      </c>
      <c r="Y338" s="24"/>
      <c r="Z338" s="24"/>
    </row>
    <row r="339" spans="11:39" ht="28.2" customHeight="1" x14ac:dyDescent="0.3">
      <c r="R339" s="24">
        <v>118</v>
      </c>
      <c r="S339" s="24">
        <v>124.10635314875657</v>
      </c>
      <c r="T339" s="24">
        <v>4.3936468512434317</v>
      </c>
      <c r="U339" s="24">
        <v>0.91824726797079392</v>
      </c>
      <c r="V339" s="24"/>
      <c r="W339" s="24">
        <v>97.916666666666671</v>
      </c>
      <c r="X339" s="24">
        <v>146.5</v>
      </c>
      <c r="Y339" s="24"/>
      <c r="Z339" s="24"/>
    </row>
    <row r="340" spans="11:39" ht="28.2" customHeight="1" x14ac:dyDescent="0.3">
      <c r="R340" s="24">
        <v>119</v>
      </c>
      <c r="S340" s="24">
        <v>125.68449143891779</v>
      </c>
      <c r="T340" s="24">
        <v>7.8155085610822113</v>
      </c>
      <c r="U340" s="24">
        <v>1.6333969540553934</v>
      </c>
      <c r="V340" s="24"/>
      <c r="W340" s="24">
        <v>98.750000000000014</v>
      </c>
      <c r="X340" s="24">
        <v>150</v>
      </c>
      <c r="Y340" s="24"/>
      <c r="Z340" s="24"/>
    </row>
    <row r="341" spans="11:39" ht="28.2" customHeight="1" thickBot="1" x14ac:dyDescent="0.35">
      <c r="R341" s="26">
        <v>120</v>
      </c>
      <c r="S341" s="26">
        <v>131.99704459956268</v>
      </c>
      <c r="T341" s="26">
        <v>-5.4970445995626847</v>
      </c>
      <c r="U341" s="26">
        <v>-1.1488511381003514</v>
      </c>
      <c r="V341" s="24"/>
      <c r="W341" s="26">
        <v>99.583333333333343</v>
      </c>
      <c r="X341" s="26">
        <v>151.5</v>
      </c>
      <c r="Y341" s="24"/>
      <c r="Z341" s="24"/>
    </row>
    <row r="345" spans="11:39" ht="28.2" customHeight="1" x14ac:dyDescent="0.3">
      <c r="K345" s="24" t="s">
        <v>77</v>
      </c>
      <c r="L345" s="24" t="s">
        <v>78</v>
      </c>
      <c r="M345" s="4" t="s">
        <v>79</v>
      </c>
      <c r="N345" s="4" t="s">
        <v>80</v>
      </c>
      <c r="O345" s="4" t="s">
        <v>81</v>
      </c>
      <c r="Q345" s="3" t="s">
        <v>80</v>
      </c>
      <c r="R345" s="3" t="s">
        <v>77</v>
      </c>
      <c r="S345" s="3" t="s">
        <v>116</v>
      </c>
      <c r="T345" s="3" t="s">
        <v>117</v>
      </c>
      <c r="U345" s="3" t="s">
        <v>118</v>
      </c>
      <c r="V345" s="3" t="s">
        <v>78</v>
      </c>
      <c r="W345" s="3" t="s">
        <v>81</v>
      </c>
      <c r="Y345" s="24" t="s">
        <v>92</v>
      </c>
      <c r="Z345" s="24"/>
      <c r="AA345" s="24"/>
      <c r="AB345" s="24"/>
      <c r="AC345" s="24"/>
      <c r="AD345" s="24"/>
      <c r="AE345" s="24"/>
      <c r="AL345" s="24" t="s">
        <v>92</v>
      </c>
    </row>
    <row r="346" spans="11:39" ht="28.2" customHeight="1" thickBot="1" x14ac:dyDescent="0.35">
      <c r="K346" s="24">
        <v>113</v>
      </c>
      <c r="L346" s="24">
        <v>169</v>
      </c>
      <c r="M346" s="4" t="s">
        <v>83</v>
      </c>
      <c r="N346" s="4">
        <v>108</v>
      </c>
      <c r="O346" s="4">
        <v>151.5</v>
      </c>
      <c r="Q346" s="1">
        <v>108</v>
      </c>
      <c r="R346" s="1">
        <v>113</v>
      </c>
      <c r="S346" s="1">
        <f>IF($M346="None", 1, 0)</f>
        <v>1</v>
      </c>
      <c r="T346" s="1">
        <f>IF($M346="New Medicine", 1, 0)</f>
        <v>0</v>
      </c>
      <c r="U346" s="1">
        <f>IF($M346="Old Medicine",1,0)</f>
        <v>0</v>
      </c>
      <c r="V346" s="1">
        <v>169</v>
      </c>
      <c r="W346" s="1">
        <v>151.5</v>
      </c>
      <c r="Y346" s="24"/>
      <c r="Z346" s="24"/>
      <c r="AA346" s="24"/>
      <c r="AB346" s="24"/>
      <c r="AC346" s="24"/>
      <c r="AD346" s="24"/>
      <c r="AE346" s="24"/>
    </row>
    <row r="347" spans="11:39" ht="28.2" customHeight="1" x14ac:dyDescent="0.3">
      <c r="K347" s="24">
        <v>113.5</v>
      </c>
      <c r="L347" s="24">
        <v>161.5</v>
      </c>
      <c r="M347" s="4" t="s">
        <v>85</v>
      </c>
      <c r="N347" s="4">
        <v>96</v>
      </c>
      <c r="O347" s="4">
        <v>145.5</v>
      </c>
      <c r="Q347" s="1">
        <v>96</v>
      </c>
      <c r="R347" s="1">
        <v>113.5</v>
      </c>
      <c r="S347" s="1">
        <f t="shared" ref="S347:S410" si="0">IF($M347="None", 1, 0)</f>
        <v>0</v>
      </c>
      <c r="T347" s="1">
        <f t="shared" ref="T347:T410" si="1">IF($M347="New Medicine", 1, 0)</f>
        <v>0</v>
      </c>
      <c r="U347" s="1">
        <f t="shared" ref="U347:U410" si="2">IF($M347="Old Medicine",1,0)</f>
        <v>1</v>
      </c>
      <c r="V347" s="1">
        <v>161.5</v>
      </c>
      <c r="W347" s="1">
        <v>145.5</v>
      </c>
      <c r="Y347" s="36" t="s">
        <v>93</v>
      </c>
      <c r="Z347" s="36"/>
      <c r="AA347" s="24"/>
      <c r="AB347" s="24"/>
      <c r="AC347" s="24"/>
      <c r="AD347" s="24"/>
      <c r="AE347" s="24"/>
      <c r="AL347" s="36" t="s">
        <v>93</v>
      </c>
      <c r="AM347" s="36"/>
    </row>
    <row r="348" spans="11:39" ht="28.2" customHeight="1" x14ac:dyDescent="0.3">
      <c r="K348" s="24">
        <v>102</v>
      </c>
      <c r="L348" s="24">
        <v>156</v>
      </c>
      <c r="M348" s="4" t="s">
        <v>85</v>
      </c>
      <c r="N348" s="4">
        <v>94.5</v>
      </c>
      <c r="O348" s="4">
        <v>134.5</v>
      </c>
      <c r="Q348" s="1">
        <v>94.5</v>
      </c>
      <c r="R348" s="1">
        <v>102</v>
      </c>
      <c r="S348" s="1">
        <f t="shared" si="0"/>
        <v>0</v>
      </c>
      <c r="T348" s="1">
        <f t="shared" si="1"/>
        <v>0</v>
      </c>
      <c r="U348" s="1">
        <f t="shared" si="2"/>
        <v>1</v>
      </c>
      <c r="V348" s="1">
        <v>156</v>
      </c>
      <c r="W348" s="1">
        <v>134.5</v>
      </c>
      <c r="Y348" s="24" t="s">
        <v>94</v>
      </c>
      <c r="Z348" s="24">
        <v>0.73086303607309389</v>
      </c>
      <c r="AA348" s="24"/>
      <c r="AB348" s="24"/>
      <c r="AC348" s="24"/>
      <c r="AD348" s="24"/>
      <c r="AE348" s="24"/>
      <c r="AL348" s="24" t="s">
        <v>94</v>
      </c>
      <c r="AM348" s="24">
        <v>0.69989074303059773</v>
      </c>
    </row>
    <row r="349" spans="11:39" ht="28.2" customHeight="1" x14ac:dyDescent="0.3">
      <c r="K349" s="24">
        <v>108.5</v>
      </c>
      <c r="L349" s="24">
        <v>157.5</v>
      </c>
      <c r="M349" s="4" t="s">
        <v>86</v>
      </c>
      <c r="N349" s="4">
        <v>95.5</v>
      </c>
      <c r="O349" s="4">
        <v>134</v>
      </c>
      <c r="Q349" s="1">
        <v>95.5</v>
      </c>
      <c r="R349" s="1">
        <v>108.5</v>
      </c>
      <c r="S349" s="1">
        <f t="shared" si="0"/>
        <v>0</v>
      </c>
      <c r="T349" s="1">
        <f t="shared" si="1"/>
        <v>1</v>
      </c>
      <c r="U349" s="1">
        <f t="shared" si="2"/>
        <v>0</v>
      </c>
      <c r="V349" s="1">
        <v>157.5</v>
      </c>
      <c r="W349" s="1">
        <v>134</v>
      </c>
      <c r="Y349" s="24" t="s">
        <v>95</v>
      </c>
      <c r="Z349" s="24">
        <v>0.53416077749798052</v>
      </c>
      <c r="AA349" s="24"/>
      <c r="AB349" s="24"/>
      <c r="AC349" s="24"/>
      <c r="AD349" s="24"/>
      <c r="AE349" s="24"/>
      <c r="AL349" s="24" t="s">
        <v>95</v>
      </c>
      <c r="AM349" s="24">
        <v>0.48984705217992214</v>
      </c>
    </row>
    <row r="350" spans="11:39" ht="28.2" customHeight="1" x14ac:dyDescent="0.3">
      <c r="K350" s="24">
        <v>106</v>
      </c>
      <c r="L350" s="24">
        <v>159</v>
      </c>
      <c r="M350" s="4" t="s">
        <v>83</v>
      </c>
      <c r="N350" s="4">
        <v>98.5</v>
      </c>
      <c r="O350" s="4">
        <v>137</v>
      </c>
      <c r="Q350" s="1">
        <v>98.5</v>
      </c>
      <c r="R350" s="1">
        <v>106</v>
      </c>
      <c r="S350" s="1">
        <f t="shared" si="0"/>
        <v>1</v>
      </c>
      <c r="T350" s="1">
        <f t="shared" si="1"/>
        <v>0</v>
      </c>
      <c r="U350" s="1">
        <f t="shared" si="2"/>
        <v>0</v>
      </c>
      <c r="V350" s="1">
        <v>159</v>
      </c>
      <c r="W350" s="1">
        <v>137</v>
      </c>
      <c r="Y350" s="24" t="s">
        <v>96</v>
      </c>
      <c r="Z350" s="24">
        <v>0.51795767410660587</v>
      </c>
      <c r="AA350" s="24"/>
      <c r="AB350" s="24"/>
      <c r="AC350" s="24"/>
      <c r="AD350" s="24"/>
      <c r="AE350" s="24"/>
      <c r="AL350" s="24" t="s">
        <v>96</v>
      </c>
      <c r="AM350" s="24">
        <v>0.47210260182096292</v>
      </c>
    </row>
    <row r="351" spans="11:39" ht="28.2" customHeight="1" x14ac:dyDescent="0.3">
      <c r="K351" s="24">
        <v>109</v>
      </c>
      <c r="L351" s="24">
        <v>163.5</v>
      </c>
      <c r="M351" s="4" t="s">
        <v>86</v>
      </c>
      <c r="N351" s="4">
        <v>104.5</v>
      </c>
      <c r="O351" s="4">
        <v>140</v>
      </c>
      <c r="Q351" s="1">
        <v>104.5</v>
      </c>
      <c r="R351" s="1">
        <v>109</v>
      </c>
      <c r="S351" s="1">
        <f t="shared" si="0"/>
        <v>0</v>
      </c>
      <c r="T351" s="1">
        <f t="shared" si="1"/>
        <v>1</v>
      </c>
      <c r="U351" s="1">
        <f t="shared" si="2"/>
        <v>0</v>
      </c>
      <c r="V351" s="1">
        <v>163.5</v>
      </c>
      <c r="W351" s="1">
        <v>140</v>
      </c>
      <c r="Y351" s="24" t="s">
        <v>5</v>
      </c>
      <c r="Z351" s="24">
        <v>3.0221533533026279</v>
      </c>
      <c r="AA351" s="24"/>
      <c r="AB351" s="24"/>
      <c r="AC351" s="24"/>
      <c r="AD351" s="24"/>
      <c r="AE351" s="24"/>
      <c r="AL351" s="24" t="s">
        <v>5</v>
      </c>
      <c r="AM351" s="24">
        <v>4.5494816269194081</v>
      </c>
    </row>
    <row r="352" spans="11:39" ht="28.2" customHeight="1" thickBot="1" x14ac:dyDescent="0.35">
      <c r="K352" s="24">
        <v>101</v>
      </c>
      <c r="L352" s="24">
        <v>145</v>
      </c>
      <c r="M352" s="4" t="s">
        <v>83</v>
      </c>
      <c r="N352" s="4">
        <v>92</v>
      </c>
      <c r="O352" s="4">
        <v>130</v>
      </c>
      <c r="Q352" s="1">
        <v>92</v>
      </c>
      <c r="R352" s="1">
        <v>101</v>
      </c>
      <c r="S352" s="1">
        <f t="shared" si="0"/>
        <v>1</v>
      </c>
      <c r="T352" s="1">
        <f t="shared" si="1"/>
        <v>0</v>
      </c>
      <c r="U352" s="1">
        <f t="shared" si="2"/>
        <v>0</v>
      </c>
      <c r="V352" s="1">
        <v>145</v>
      </c>
      <c r="W352" s="1">
        <v>130</v>
      </c>
      <c r="Y352" s="26" t="s">
        <v>97</v>
      </c>
      <c r="Z352" s="26">
        <v>120</v>
      </c>
      <c r="AA352" s="24"/>
      <c r="AB352" s="24"/>
      <c r="AC352" s="24"/>
      <c r="AD352" s="24"/>
      <c r="AE352" s="24"/>
      <c r="AL352" s="26" t="s">
        <v>97</v>
      </c>
      <c r="AM352" s="26">
        <v>120</v>
      </c>
    </row>
    <row r="353" spans="11:46" ht="28.2" customHeight="1" x14ac:dyDescent="0.3">
      <c r="K353" s="24">
        <v>109.5</v>
      </c>
      <c r="L353" s="24">
        <v>167</v>
      </c>
      <c r="M353" s="4" t="s">
        <v>85</v>
      </c>
      <c r="N353" s="4">
        <v>100</v>
      </c>
      <c r="O353" s="4">
        <v>145.5</v>
      </c>
      <c r="Q353" s="1">
        <v>100</v>
      </c>
      <c r="R353" s="1">
        <v>109.5</v>
      </c>
      <c r="S353" s="1">
        <f t="shared" si="0"/>
        <v>0</v>
      </c>
      <c r="T353" s="1">
        <f t="shared" si="1"/>
        <v>0</v>
      </c>
      <c r="U353" s="1">
        <f t="shared" si="2"/>
        <v>1</v>
      </c>
      <c r="V353" s="1">
        <v>167</v>
      </c>
      <c r="W353" s="1">
        <v>145.5</v>
      </c>
      <c r="Y353" s="24"/>
      <c r="Z353" s="24"/>
      <c r="AA353" s="24"/>
      <c r="AB353" s="24"/>
      <c r="AC353" s="24"/>
      <c r="AD353" s="24"/>
      <c r="AE353" s="24"/>
    </row>
    <row r="354" spans="11:46" ht="28.2" customHeight="1" thickBot="1" x14ac:dyDescent="0.35">
      <c r="K354" s="24">
        <v>104</v>
      </c>
      <c r="L354" s="24">
        <v>152.5</v>
      </c>
      <c r="M354" s="4" t="s">
        <v>85</v>
      </c>
      <c r="N354" s="4">
        <v>95.5</v>
      </c>
      <c r="O354" s="4">
        <v>126</v>
      </c>
      <c r="Q354" s="1">
        <v>95.5</v>
      </c>
      <c r="R354" s="1">
        <v>104</v>
      </c>
      <c r="S354" s="1">
        <f t="shared" si="0"/>
        <v>0</v>
      </c>
      <c r="T354" s="1">
        <f t="shared" si="1"/>
        <v>0</v>
      </c>
      <c r="U354" s="1">
        <f t="shared" si="2"/>
        <v>1</v>
      </c>
      <c r="V354" s="1">
        <v>152.5</v>
      </c>
      <c r="W354" s="1">
        <v>126</v>
      </c>
      <c r="Y354" s="24" t="s">
        <v>33</v>
      </c>
      <c r="Z354" s="24"/>
      <c r="AA354" s="24"/>
      <c r="AB354" s="24"/>
      <c r="AC354" s="24"/>
      <c r="AD354" s="24"/>
      <c r="AE354" s="24"/>
      <c r="AL354" s="24" t="s">
        <v>33</v>
      </c>
    </row>
    <row r="355" spans="11:46" ht="28.2" customHeight="1" x14ac:dyDescent="0.3">
      <c r="K355" s="24">
        <v>103.5</v>
      </c>
      <c r="L355" s="24">
        <v>152.5</v>
      </c>
      <c r="M355" s="4" t="s">
        <v>85</v>
      </c>
      <c r="N355" s="4">
        <v>99</v>
      </c>
      <c r="O355" s="4">
        <v>146.5</v>
      </c>
      <c r="Q355" s="1">
        <v>99</v>
      </c>
      <c r="R355" s="1">
        <v>103.5</v>
      </c>
      <c r="S355" s="1">
        <f t="shared" si="0"/>
        <v>0</v>
      </c>
      <c r="T355" s="1">
        <f t="shared" si="1"/>
        <v>0</v>
      </c>
      <c r="U355" s="1">
        <f t="shared" si="2"/>
        <v>1</v>
      </c>
      <c r="V355" s="1">
        <v>152.5</v>
      </c>
      <c r="W355" s="1">
        <v>146.5</v>
      </c>
      <c r="Y355" s="5"/>
      <c r="Z355" s="5" t="s">
        <v>36</v>
      </c>
      <c r="AA355" s="5" t="s">
        <v>35</v>
      </c>
      <c r="AB355" s="5" t="s">
        <v>37</v>
      </c>
      <c r="AC355" s="5" t="s">
        <v>38</v>
      </c>
      <c r="AD355" s="5" t="s">
        <v>101</v>
      </c>
      <c r="AE355" s="24"/>
      <c r="AL355" s="5"/>
      <c r="AM355" s="5" t="s">
        <v>36</v>
      </c>
      <c r="AN355" s="5" t="s">
        <v>35</v>
      </c>
      <c r="AO355" s="5" t="s">
        <v>37</v>
      </c>
      <c r="AP355" s="5" t="s">
        <v>38</v>
      </c>
      <c r="AQ355" s="5" t="s">
        <v>101</v>
      </c>
    </row>
    <row r="356" spans="11:46" ht="28.2" customHeight="1" x14ac:dyDescent="0.3">
      <c r="K356" s="24">
        <v>108</v>
      </c>
      <c r="L356" s="24">
        <v>154</v>
      </c>
      <c r="M356" s="4" t="s">
        <v>83</v>
      </c>
      <c r="N356" s="4">
        <v>100.5</v>
      </c>
      <c r="O356" s="4">
        <v>140</v>
      </c>
      <c r="Q356" s="1">
        <v>100.5</v>
      </c>
      <c r="R356" s="1">
        <v>108</v>
      </c>
      <c r="S356" s="1">
        <f t="shared" si="0"/>
        <v>1</v>
      </c>
      <c r="T356" s="1">
        <f t="shared" si="1"/>
        <v>0</v>
      </c>
      <c r="U356" s="1">
        <f t="shared" si="2"/>
        <v>0</v>
      </c>
      <c r="V356" s="1">
        <v>154</v>
      </c>
      <c r="W356" s="1">
        <v>140</v>
      </c>
      <c r="Y356" s="24" t="s">
        <v>98</v>
      </c>
      <c r="Z356" s="24">
        <v>4</v>
      </c>
      <c r="AA356" s="24">
        <v>1204.3889975489938</v>
      </c>
      <c r="AB356" s="24">
        <v>301.09724938724844</v>
      </c>
      <c r="AC356" s="24">
        <v>32.966572180384333</v>
      </c>
      <c r="AD356" s="37">
        <v>2.6596676893021E-18</v>
      </c>
      <c r="AE356" s="24"/>
      <c r="AL356" s="24" t="s">
        <v>98</v>
      </c>
      <c r="AM356" s="24">
        <v>4</v>
      </c>
      <c r="AN356" s="24">
        <v>2285.502863193778</v>
      </c>
      <c r="AO356" s="24">
        <v>571.3757157984445</v>
      </c>
      <c r="AP356" s="24">
        <v>27.605648091128206</v>
      </c>
      <c r="AQ356" s="37">
        <v>4.5462462849147197E-16</v>
      </c>
    </row>
    <row r="357" spans="11:46" ht="28.2" customHeight="1" x14ac:dyDescent="0.3">
      <c r="K357" s="24">
        <v>103</v>
      </c>
      <c r="L357" s="24">
        <v>162</v>
      </c>
      <c r="M357" s="4" t="s">
        <v>83</v>
      </c>
      <c r="N357" s="4">
        <v>100.5</v>
      </c>
      <c r="O357" s="4">
        <v>140.5</v>
      </c>
      <c r="Q357" s="1">
        <v>100.5</v>
      </c>
      <c r="R357" s="1">
        <v>103</v>
      </c>
      <c r="S357" s="1">
        <f t="shared" si="0"/>
        <v>1</v>
      </c>
      <c r="T357" s="1">
        <f t="shared" si="1"/>
        <v>0</v>
      </c>
      <c r="U357" s="1">
        <f t="shared" si="2"/>
        <v>0</v>
      </c>
      <c r="V357" s="1">
        <v>162</v>
      </c>
      <c r="W357" s="1">
        <v>140.5</v>
      </c>
      <c r="Y357" s="24" t="s">
        <v>99</v>
      </c>
      <c r="Z357" s="24">
        <v>115</v>
      </c>
      <c r="AA357" s="24">
        <v>1050.3422524510065</v>
      </c>
      <c r="AB357" s="24">
        <v>9.1334108908783183</v>
      </c>
      <c r="AC357" s="24"/>
      <c r="AD357" s="24"/>
      <c r="AE357" s="24"/>
      <c r="AL357" s="24" t="s">
        <v>99</v>
      </c>
      <c r="AM357" s="24">
        <v>115</v>
      </c>
      <c r="AN357" s="24">
        <v>2380.2450534728855</v>
      </c>
      <c r="AO357" s="24">
        <v>20.697783073677265</v>
      </c>
    </row>
    <row r="358" spans="11:46" ht="28.2" customHeight="1" thickBot="1" x14ac:dyDescent="0.35">
      <c r="K358" s="24">
        <v>104</v>
      </c>
      <c r="L358" s="24">
        <v>157.5</v>
      </c>
      <c r="M358" s="4" t="s">
        <v>87</v>
      </c>
      <c r="N358" s="4">
        <v>100.5</v>
      </c>
      <c r="O358" s="4">
        <v>138</v>
      </c>
      <c r="Q358" s="1">
        <v>100.5</v>
      </c>
      <c r="R358" s="1">
        <v>104</v>
      </c>
      <c r="S358" s="1">
        <f t="shared" si="0"/>
        <v>0</v>
      </c>
      <c r="T358" s="1">
        <f t="shared" si="1"/>
        <v>0</v>
      </c>
      <c r="U358" s="1">
        <f t="shared" si="2"/>
        <v>0</v>
      </c>
      <c r="V358" s="1">
        <v>157.5</v>
      </c>
      <c r="W358" s="1">
        <v>138</v>
      </c>
      <c r="Y358" s="26" t="s">
        <v>43</v>
      </c>
      <c r="Z358" s="26">
        <v>119</v>
      </c>
      <c r="AA358" s="26">
        <v>2254.7312500000003</v>
      </c>
      <c r="AB358" s="26"/>
      <c r="AC358" s="26"/>
      <c r="AD358" s="26"/>
      <c r="AE358" s="24"/>
      <c r="AL358" s="26" t="s">
        <v>43</v>
      </c>
      <c r="AM358" s="26">
        <v>119</v>
      </c>
      <c r="AN358" s="26">
        <v>4665.7479166666635</v>
      </c>
      <c r="AO358" s="26"/>
      <c r="AP358" s="26"/>
      <c r="AQ358" s="26"/>
    </row>
    <row r="359" spans="11:46" ht="28.2" customHeight="1" thickBot="1" x14ac:dyDescent="0.35">
      <c r="K359" s="24">
        <v>104.5</v>
      </c>
      <c r="L359" s="24">
        <v>159</v>
      </c>
      <c r="M359" s="4" t="s">
        <v>87</v>
      </c>
      <c r="N359" s="4">
        <v>99.5</v>
      </c>
      <c r="O359" s="4">
        <v>133.5</v>
      </c>
      <c r="Q359" s="1">
        <v>99.5</v>
      </c>
      <c r="R359" s="1">
        <v>104.5</v>
      </c>
      <c r="S359" s="1">
        <f t="shared" si="0"/>
        <v>0</v>
      </c>
      <c r="T359" s="1">
        <f t="shared" si="1"/>
        <v>0</v>
      </c>
      <c r="U359" s="1">
        <f t="shared" si="2"/>
        <v>0</v>
      </c>
      <c r="V359" s="1">
        <v>159</v>
      </c>
      <c r="W359" s="1">
        <v>133.5</v>
      </c>
      <c r="Y359" s="24"/>
      <c r="Z359" s="24"/>
      <c r="AA359" s="24"/>
      <c r="AB359" s="24"/>
      <c r="AC359" s="24"/>
      <c r="AD359" s="24"/>
      <c r="AE359" s="24"/>
    </row>
    <row r="360" spans="11:46" ht="28.2" customHeight="1" x14ac:dyDescent="0.3">
      <c r="K360" s="24">
        <v>101</v>
      </c>
      <c r="L360" s="24">
        <v>154.5</v>
      </c>
      <c r="M360" s="4" t="s">
        <v>85</v>
      </c>
      <c r="N360" s="4">
        <v>97</v>
      </c>
      <c r="O360" s="4">
        <v>137</v>
      </c>
      <c r="Q360" s="1">
        <v>97</v>
      </c>
      <c r="R360" s="1">
        <v>101</v>
      </c>
      <c r="S360" s="1">
        <f t="shared" si="0"/>
        <v>0</v>
      </c>
      <c r="T360" s="1">
        <f t="shared" si="1"/>
        <v>0</v>
      </c>
      <c r="U360" s="1">
        <f t="shared" si="2"/>
        <v>1</v>
      </c>
      <c r="V360" s="1">
        <v>154.5</v>
      </c>
      <c r="W360" s="1">
        <v>137</v>
      </c>
      <c r="Y360" s="5"/>
      <c r="Z360" s="5" t="s">
        <v>102</v>
      </c>
      <c r="AA360" s="5" t="s">
        <v>5</v>
      </c>
      <c r="AB360" s="5" t="s">
        <v>103</v>
      </c>
      <c r="AC360" s="5" t="s">
        <v>39</v>
      </c>
      <c r="AD360" s="5" t="s">
        <v>104</v>
      </c>
      <c r="AE360" s="5" t="s">
        <v>105</v>
      </c>
      <c r="AF360" s="5" t="s">
        <v>106</v>
      </c>
      <c r="AG360" s="5" t="s">
        <v>107</v>
      </c>
      <c r="AL360" s="5"/>
      <c r="AM360" s="5" t="s">
        <v>102</v>
      </c>
      <c r="AN360" s="5" t="s">
        <v>5</v>
      </c>
      <c r="AO360" s="5" t="s">
        <v>103</v>
      </c>
      <c r="AP360" s="5" t="s">
        <v>39</v>
      </c>
      <c r="AQ360" s="5" t="s">
        <v>104</v>
      </c>
      <c r="AR360" s="5" t="s">
        <v>105</v>
      </c>
      <c r="AS360" s="5" t="s">
        <v>106</v>
      </c>
      <c r="AT360" s="5" t="s">
        <v>107</v>
      </c>
    </row>
    <row r="361" spans="11:46" ht="28.2" customHeight="1" x14ac:dyDescent="0.3">
      <c r="K361" s="24">
        <v>105.5</v>
      </c>
      <c r="L361" s="24">
        <v>151</v>
      </c>
      <c r="M361" s="4" t="s">
        <v>85</v>
      </c>
      <c r="N361" s="4">
        <v>93</v>
      </c>
      <c r="O361" s="4">
        <v>133.5</v>
      </c>
      <c r="Q361" s="1">
        <v>93</v>
      </c>
      <c r="R361" s="1">
        <v>105.5</v>
      </c>
      <c r="S361" s="1">
        <f t="shared" si="0"/>
        <v>0</v>
      </c>
      <c r="T361" s="1">
        <f t="shared" si="1"/>
        <v>0</v>
      </c>
      <c r="U361" s="1">
        <f t="shared" si="2"/>
        <v>1</v>
      </c>
      <c r="V361" s="1">
        <v>151</v>
      </c>
      <c r="W361" s="1">
        <v>133.5</v>
      </c>
      <c r="Y361" s="24" t="s">
        <v>100</v>
      </c>
      <c r="Z361" s="24">
        <v>32.289433970007721</v>
      </c>
      <c r="AA361" s="24">
        <v>5.608744235962293</v>
      </c>
      <c r="AB361" s="24">
        <v>5.7569809946000898</v>
      </c>
      <c r="AC361" s="24">
        <v>7.2398083875557372E-8</v>
      </c>
      <c r="AD361" s="24">
        <v>21.179591091290522</v>
      </c>
      <c r="AE361" s="24">
        <v>43.399276848724924</v>
      </c>
      <c r="AF361" s="24">
        <v>21.179591091290522</v>
      </c>
      <c r="AG361" s="24">
        <v>43.399276848724924</v>
      </c>
      <c r="AL361" s="24" t="s">
        <v>100</v>
      </c>
      <c r="AM361" s="24">
        <v>28.225757877424115</v>
      </c>
      <c r="AN361" s="24">
        <v>10.156758216994419</v>
      </c>
      <c r="AO361" s="24">
        <v>2.7790124835497623</v>
      </c>
      <c r="AP361" s="24">
        <v>6.3705064452913174E-3</v>
      </c>
      <c r="AQ361" s="24">
        <v>8.1071746080324658</v>
      </c>
      <c r="AR361" s="24">
        <v>48.344341146815765</v>
      </c>
      <c r="AS361" s="24">
        <v>8.1071746080324658</v>
      </c>
      <c r="AT361" s="24">
        <v>48.344341146815765</v>
      </c>
    </row>
    <row r="362" spans="11:46" ht="28.2" customHeight="1" x14ac:dyDescent="0.3">
      <c r="K362" s="24">
        <v>105.5</v>
      </c>
      <c r="L362" s="24">
        <v>166</v>
      </c>
      <c r="M362" s="4" t="s">
        <v>86</v>
      </c>
      <c r="N362" s="4">
        <v>99.5</v>
      </c>
      <c r="O362" s="4">
        <v>142</v>
      </c>
      <c r="Q362" s="1">
        <v>99.5</v>
      </c>
      <c r="R362" s="1">
        <v>105.5</v>
      </c>
      <c r="S362" s="1">
        <f t="shared" si="0"/>
        <v>0</v>
      </c>
      <c r="T362" s="1">
        <f t="shared" si="1"/>
        <v>1</v>
      </c>
      <c r="U362" s="1">
        <f t="shared" si="2"/>
        <v>0</v>
      </c>
      <c r="V362" s="1">
        <v>166</v>
      </c>
      <c r="W362" s="1">
        <v>142</v>
      </c>
      <c r="Y362" s="24" t="s">
        <v>77</v>
      </c>
      <c r="Z362" s="24">
        <v>0.60982460728978205</v>
      </c>
      <c r="AA362" s="24">
        <v>5.5223256327316263E-2</v>
      </c>
      <c r="AB362" s="24">
        <v>11.042894748460014</v>
      </c>
      <c r="AC362" s="24">
        <v>9.1052307762444572E-20</v>
      </c>
      <c r="AD362" s="24">
        <v>0.50043796471231983</v>
      </c>
      <c r="AE362" s="24">
        <v>0.71921124986724427</v>
      </c>
      <c r="AF362" s="24">
        <v>0.50043796471231983</v>
      </c>
      <c r="AG362" s="24">
        <v>0.71921124986724427</v>
      </c>
      <c r="AL362" s="24" t="s">
        <v>116</v>
      </c>
      <c r="AM362" s="24">
        <v>3.27176285805559</v>
      </c>
      <c r="AN362" s="24">
        <v>1.182090219776627</v>
      </c>
      <c r="AO362" s="24">
        <v>2.7677776224845458</v>
      </c>
      <c r="AP362" s="24">
        <v>6.5798055701694952E-3</v>
      </c>
      <c r="AQ362" s="24">
        <v>0.93026963645686589</v>
      </c>
      <c r="AR362" s="24">
        <v>5.6132560796543078</v>
      </c>
      <c r="AS362" s="24">
        <v>0.93026963645686589</v>
      </c>
      <c r="AT362" s="24">
        <v>5.6132560796543078</v>
      </c>
    </row>
    <row r="363" spans="11:46" ht="28.2" customHeight="1" x14ac:dyDescent="0.3">
      <c r="K363" s="24">
        <v>105</v>
      </c>
      <c r="L363" s="24">
        <v>157</v>
      </c>
      <c r="M363" s="4" t="s">
        <v>83</v>
      </c>
      <c r="N363" s="4">
        <v>100.5</v>
      </c>
      <c r="O363" s="4">
        <v>138.5</v>
      </c>
      <c r="Q363" s="1">
        <v>100.5</v>
      </c>
      <c r="R363" s="1">
        <v>105</v>
      </c>
      <c r="S363" s="1">
        <f t="shared" si="0"/>
        <v>1</v>
      </c>
      <c r="T363" s="1">
        <f t="shared" si="1"/>
        <v>0</v>
      </c>
      <c r="U363" s="1">
        <f t="shared" si="2"/>
        <v>0</v>
      </c>
      <c r="V363" s="1">
        <v>157</v>
      </c>
      <c r="W363" s="1">
        <v>138.5</v>
      </c>
      <c r="Y363" s="24" t="s">
        <v>116</v>
      </c>
      <c r="Z363" s="24">
        <v>2.2153392451449498</v>
      </c>
      <c r="AA363" s="24">
        <v>0.7840920516154426</v>
      </c>
      <c r="AB363" s="24">
        <v>2.825356079787761</v>
      </c>
      <c r="AC363" s="24">
        <v>5.5697830717107103E-3</v>
      </c>
      <c r="AD363" s="24">
        <v>0.6622037963854448</v>
      </c>
      <c r="AE363" s="24">
        <v>3.7684746939044551</v>
      </c>
      <c r="AF363" s="24">
        <v>0.6622037963854448</v>
      </c>
      <c r="AG363" s="24">
        <v>3.7684746939044551</v>
      </c>
      <c r="AL363" s="24" t="s">
        <v>117</v>
      </c>
      <c r="AM363" s="24">
        <v>-0.55774606296570295</v>
      </c>
      <c r="AN363" s="24">
        <v>1.4408036816851804</v>
      </c>
      <c r="AO363" s="24">
        <v>-0.38710760532854627</v>
      </c>
      <c r="AP363" s="24">
        <v>0.69939199521328999</v>
      </c>
      <c r="AQ363" s="24">
        <v>-3.411700860897986</v>
      </c>
      <c r="AR363" s="24">
        <v>2.2962087349665796</v>
      </c>
      <c r="AS363" s="24">
        <v>-3.411700860897986</v>
      </c>
      <c r="AT363" s="24">
        <v>2.2962087349665796</v>
      </c>
    </row>
    <row r="364" spans="11:46" ht="28.2" customHeight="1" x14ac:dyDescent="0.3">
      <c r="K364" s="24">
        <v>106</v>
      </c>
      <c r="L364" s="24">
        <v>158.5</v>
      </c>
      <c r="M364" s="4" t="s">
        <v>86</v>
      </c>
      <c r="N364" s="4">
        <v>95.5</v>
      </c>
      <c r="O364" s="4">
        <v>140.5</v>
      </c>
      <c r="Q364" s="1">
        <v>95.5</v>
      </c>
      <c r="R364" s="1">
        <v>106</v>
      </c>
      <c r="S364" s="1">
        <f t="shared" si="0"/>
        <v>0</v>
      </c>
      <c r="T364" s="1">
        <f t="shared" si="1"/>
        <v>1</v>
      </c>
      <c r="U364" s="1">
        <f t="shared" si="2"/>
        <v>0</v>
      </c>
      <c r="V364" s="1">
        <v>158.5</v>
      </c>
      <c r="W364" s="1">
        <v>140.5</v>
      </c>
      <c r="Y364" s="24" t="s">
        <v>117</v>
      </c>
      <c r="Z364" s="24">
        <v>-0.26777198947671599</v>
      </c>
      <c r="AA364" s="24">
        <v>0.95838140981260955</v>
      </c>
      <c r="AB364" s="24">
        <v>-0.2794002332840253</v>
      </c>
      <c r="AC364" s="24">
        <v>0.78043956789972202</v>
      </c>
      <c r="AD364" s="24">
        <v>-2.1661411132873303</v>
      </c>
      <c r="AE364" s="24">
        <v>1.6305971343338979</v>
      </c>
      <c r="AF364" s="24">
        <v>-2.1661411132873303</v>
      </c>
      <c r="AG364" s="24">
        <v>1.6305971343338979</v>
      </c>
      <c r="AL364" s="24" t="s">
        <v>118</v>
      </c>
      <c r="AM364" s="24">
        <v>5.3161752401953088E-2</v>
      </c>
      <c r="AN364" s="24">
        <v>1.4393249596079736</v>
      </c>
      <c r="AO364" s="24">
        <v>3.6935198022573487E-2</v>
      </c>
      <c r="AP364" s="24">
        <v>0.97060071334395204</v>
      </c>
      <c r="AQ364" s="24">
        <v>-2.797863981688602</v>
      </c>
      <c r="AR364" s="24">
        <v>2.9041874864925079</v>
      </c>
      <c r="AS364" s="24">
        <v>-2.797863981688602</v>
      </c>
      <c r="AT364" s="24">
        <v>2.9041874864925079</v>
      </c>
    </row>
    <row r="365" spans="11:46" ht="28.2" customHeight="1" thickBot="1" x14ac:dyDescent="0.35">
      <c r="K365" s="24">
        <v>104.5</v>
      </c>
      <c r="L365" s="24">
        <v>156.5</v>
      </c>
      <c r="M365" s="4" t="s">
        <v>87</v>
      </c>
      <c r="N365" s="4">
        <v>98.5</v>
      </c>
      <c r="O365" s="4">
        <v>131</v>
      </c>
      <c r="Q365" s="1">
        <v>98.5</v>
      </c>
      <c r="R365" s="1">
        <v>104.5</v>
      </c>
      <c r="S365" s="1">
        <f t="shared" si="0"/>
        <v>0</v>
      </c>
      <c r="T365" s="1">
        <f t="shared" si="1"/>
        <v>0</v>
      </c>
      <c r="U365" s="1">
        <f t="shared" si="2"/>
        <v>0</v>
      </c>
      <c r="V365" s="1">
        <v>156.5</v>
      </c>
      <c r="W365" s="1">
        <v>131</v>
      </c>
      <c r="Y365" s="26" t="s">
        <v>118</v>
      </c>
      <c r="Z365" s="26">
        <v>-1.16343861255142</v>
      </c>
      <c r="AA365" s="26">
        <v>0.9558842325682837</v>
      </c>
      <c r="AB365" s="26">
        <v>-1.21713338593888</v>
      </c>
      <c r="AC365" s="26">
        <v>0.226045291776685</v>
      </c>
      <c r="AD365" s="26">
        <v>-3.0568613088450034</v>
      </c>
      <c r="AE365" s="26">
        <v>0.7299840837421574</v>
      </c>
      <c r="AF365" s="26">
        <v>-3.0568613088450034</v>
      </c>
      <c r="AG365" s="26">
        <v>0.7299840837421574</v>
      </c>
      <c r="AL365" s="26" t="s">
        <v>78</v>
      </c>
      <c r="AM365" s="26">
        <v>0.68744345784315275</v>
      </c>
      <c r="AN365" s="26">
        <v>6.6671179028577568E-2</v>
      </c>
      <c r="AO365" s="26">
        <v>10.310953966308151</v>
      </c>
      <c r="AP365" s="26">
        <v>4.7625690752304506E-18</v>
      </c>
      <c r="AQ365" s="26">
        <v>0.55538068364905746</v>
      </c>
      <c r="AR365" s="26">
        <v>0.81950623203724804</v>
      </c>
      <c r="AS365" s="26">
        <v>0.55538068364905746</v>
      </c>
      <c r="AT365" s="26">
        <v>0.81950623203724804</v>
      </c>
    </row>
    <row r="366" spans="11:46" ht="28.2" customHeight="1" x14ac:dyDescent="0.3">
      <c r="K366" s="24">
        <v>102</v>
      </c>
      <c r="L366" s="24">
        <v>155</v>
      </c>
      <c r="M366" s="4" t="s">
        <v>83</v>
      </c>
      <c r="N366" s="4">
        <v>99</v>
      </c>
      <c r="O366" s="4">
        <v>135</v>
      </c>
      <c r="Q366" s="1">
        <v>99</v>
      </c>
      <c r="R366" s="1">
        <v>102</v>
      </c>
      <c r="S366" s="1">
        <f t="shared" si="0"/>
        <v>1</v>
      </c>
      <c r="T366" s="1">
        <f t="shared" si="1"/>
        <v>0</v>
      </c>
      <c r="U366" s="1">
        <f t="shared" si="2"/>
        <v>0</v>
      </c>
      <c r="V366" s="1">
        <v>155</v>
      </c>
      <c r="W366" s="1">
        <v>135</v>
      </c>
      <c r="Y366" s="24"/>
      <c r="Z366" s="24"/>
      <c r="AA366" s="24"/>
      <c r="AB366" s="24"/>
      <c r="AC366" s="24"/>
      <c r="AD366" s="24"/>
      <c r="AE366" s="24"/>
    </row>
    <row r="367" spans="11:46" ht="28.2" customHeight="1" x14ac:dyDescent="0.3">
      <c r="K367" s="24">
        <v>102.5</v>
      </c>
      <c r="L367" s="24">
        <v>158</v>
      </c>
      <c r="M367" s="4" t="s">
        <v>86</v>
      </c>
      <c r="N367" s="4">
        <v>95.5</v>
      </c>
      <c r="O367" s="4">
        <v>133.5</v>
      </c>
      <c r="Q367" s="1">
        <v>95.5</v>
      </c>
      <c r="R367" s="1">
        <v>102.5</v>
      </c>
      <c r="S367" s="1">
        <f t="shared" si="0"/>
        <v>0</v>
      </c>
      <c r="T367" s="1">
        <f t="shared" si="1"/>
        <v>1</v>
      </c>
      <c r="U367" s="1">
        <f t="shared" si="2"/>
        <v>0</v>
      </c>
      <c r="V367" s="1">
        <v>158</v>
      </c>
      <c r="W367" s="1">
        <v>133.5</v>
      </c>
      <c r="Y367" s="24"/>
      <c r="Z367" s="24"/>
      <c r="AA367" s="24"/>
      <c r="AB367" s="24"/>
      <c r="AC367" s="24"/>
      <c r="AD367" s="24"/>
      <c r="AE367" s="24"/>
    </row>
    <row r="368" spans="11:46" ht="28.2" customHeight="1" x14ac:dyDescent="0.3">
      <c r="K368" s="24">
        <v>98</v>
      </c>
      <c r="L368" s="24">
        <v>153</v>
      </c>
      <c r="M368" s="4" t="s">
        <v>87</v>
      </c>
      <c r="N368" s="4">
        <v>91.5</v>
      </c>
      <c r="O368" s="4">
        <v>131.5</v>
      </c>
      <c r="Q368" s="1">
        <v>91.5</v>
      </c>
      <c r="R368" s="1">
        <v>98</v>
      </c>
      <c r="S368" s="1">
        <f t="shared" si="0"/>
        <v>0</v>
      </c>
      <c r="T368" s="1">
        <f t="shared" si="1"/>
        <v>0</v>
      </c>
      <c r="U368" s="1">
        <f t="shared" si="2"/>
        <v>0</v>
      </c>
      <c r="V368" s="1">
        <v>153</v>
      </c>
      <c r="W368" s="1">
        <v>131.5</v>
      </c>
      <c r="Y368" s="24"/>
      <c r="Z368" s="24"/>
      <c r="AA368" s="24"/>
      <c r="AB368" s="24"/>
      <c r="AC368" s="24"/>
      <c r="AD368" s="24"/>
      <c r="AE368" s="24"/>
    </row>
    <row r="369" spans="11:31" ht="28.2" customHeight="1" x14ac:dyDescent="0.3">
      <c r="K369" s="24">
        <v>109.5</v>
      </c>
      <c r="L369" s="24">
        <v>164</v>
      </c>
      <c r="M369" s="4" t="s">
        <v>86</v>
      </c>
      <c r="N369" s="4">
        <v>102</v>
      </c>
      <c r="O369" s="4">
        <v>143</v>
      </c>
      <c r="Q369" s="1">
        <v>102</v>
      </c>
      <c r="R369" s="1">
        <v>109.5</v>
      </c>
      <c r="S369" s="1">
        <f t="shared" si="0"/>
        <v>0</v>
      </c>
      <c r="T369" s="1">
        <f t="shared" si="1"/>
        <v>1</v>
      </c>
      <c r="U369" s="1">
        <f t="shared" si="2"/>
        <v>0</v>
      </c>
      <c r="V369" s="1">
        <v>164</v>
      </c>
      <c r="W369" s="1">
        <v>143</v>
      </c>
      <c r="AB369" s="24"/>
      <c r="AC369" s="24"/>
      <c r="AD369" s="24"/>
      <c r="AE369" s="24"/>
    </row>
    <row r="370" spans="11:31" ht="28.2" customHeight="1" x14ac:dyDescent="0.3">
      <c r="K370" s="24">
        <v>105</v>
      </c>
      <c r="L370" s="24">
        <v>151</v>
      </c>
      <c r="M370" s="4" t="s">
        <v>87</v>
      </c>
      <c r="N370" s="4">
        <v>99</v>
      </c>
      <c r="O370" s="4">
        <v>141.5</v>
      </c>
      <c r="Q370" s="1">
        <v>99</v>
      </c>
      <c r="R370" s="1">
        <v>105</v>
      </c>
      <c r="S370" s="1">
        <f t="shared" si="0"/>
        <v>0</v>
      </c>
      <c r="T370" s="1">
        <f t="shared" si="1"/>
        <v>0</v>
      </c>
      <c r="U370" s="1">
        <f t="shared" si="2"/>
        <v>0</v>
      </c>
      <c r="V370" s="1">
        <v>151</v>
      </c>
      <c r="W370" s="1">
        <v>141.5</v>
      </c>
      <c r="AB370" s="24"/>
      <c r="AC370" s="24"/>
      <c r="AD370" s="24"/>
      <c r="AE370" s="24"/>
    </row>
    <row r="371" spans="11:31" ht="28.2" customHeight="1" x14ac:dyDescent="0.3">
      <c r="K371" s="24">
        <v>106.5</v>
      </c>
      <c r="L371" s="24">
        <v>155.5</v>
      </c>
      <c r="M371" s="4" t="s">
        <v>83</v>
      </c>
      <c r="N371" s="4">
        <v>100.5</v>
      </c>
      <c r="O371" s="4">
        <v>138.5</v>
      </c>
      <c r="Q371" s="1">
        <v>100.5</v>
      </c>
      <c r="R371" s="1">
        <v>106.5</v>
      </c>
      <c r="S371" s="1">
        <f t="shared" si="0"/>
        <v>1</v>
      </c>
      <c r="T371" s="1">
        <f t="shared" si="1"/>
        <v>0</v>
      </c>
      <c r="U371" s="1">
        <f t="shared" si="2"/>
        <v>0</v>
      </c>
      <c r="V371" s="1">
        <v>155.5</v>
      </c>
      <c r="W371" s="1">
        <v>138.5</v>
      </c>
      <c r="AB371" s="24"/>
      <c r="AC371" s="24"/>
      <c r="AD371" s="24"/>
      <c r="AE371" s="24"/>
    </row>
    <row r="372" spans="11:31" ht="28.2" customHeight="1" x14ac:dyDescent="0.3">
      <c r="K372" s="24">
        <v>102.5</v>
      </c>
      <c r="L372" s="24">
        <v>156.5</v>
      </c>
      <c r="M372" s="4" t="s">
        <v>86</v>
      </c>
      <c r="N372" s="4">
        <v>96.5</v>
      </c>
      <c r="O372" s="4">
        <v>134.5</v>
      </c>
      <c r="Q372" s="1">
        <v>96.5</v>
      </c>
      <c r="R372" s="1">
        <v>102.5</v>
      </c>
      <c r="S372" s="1">
        <f t="shared" si="0"/>
        <v>0</v>
      </c>
      <c r="T372" s="1">
        <f t="shared" si="1"/>
        <v>1</v>
      </c>
      <c r="U372" s="1">
        <f t="shared" si="2"/>
        <v>0</v>
      </c>
      <c r="V372" s="1">
        <v>156.5</v>
      </c>
      <c r="W372" s="1">
        <v>134.5</v>
      </c>
      <c r="AB372" s="24"/>
      <c r="AC372" s="24"/>
      <c r="AD372" s="24"/>
      <c r="AE372" s="24"/>
    </row>
    <row r="373" spans="11:31" ht="28.2" customHeight="1" x14ac:dyDescent="0.3">
      <c r="K373" s="24">
        <v>105.5</v>
      </c>
      <c r="L373" s="24">
        <v>158.5</v>
      </c>
      <c r="M373" s="4" t="s">
        <v>86</v>
      </c>
      <c r="N373" s="4">
        <v>94</v>
      </c>
      <c r="O373" s="4">
        <v>136</v>
      </c>
      <c r="Q373" s="1">
        <v>94</v>
      </c>
      <c r="R373" s="1">
        <v>105.5</v>
      </c>
      <c r="S373" s="1">
        <f t="shared" si="0"/>
        <v>0</v>
      </c>
      <c r="T373" s="1">
        <f t="shared" si="1"/>
        <v>1</v>
      </c>
      <c r="U373" s="1">
        <f t="shared" si="2"/>
        <v>0</v>
      </c>
      <c r="V373" s="1">
        <v>158.5</v>
      </c>
      <c r="W373" s="1">
        <v>136</v>
      </c>
      <c r="AB373" s="24"/>
      <c r="AC373" s="24"/>
      <c r="AD373" s="24"/>
      <c r="AE373" s="24"/>
    </row>
    <row r="374" spans="11:31" ht="28.2" customHeight="1" x14ac:dyDescent="0.3">
      <c r="K374" s="24">
        <v>95.5</v>
      </c>
      <c r="L374" s="24">
        <v>147</v>
      </c>
      <c r="M374" s="4" t="s">
        <v>86</v>
      </c>
      <c r="N374" s="4">
        <v>86.5</v>
      </c>
      <c r="O374" s="4">
        <v>124.5</v>
      </c>
      <c r="Q374" s="1">
        <v>86.5</v>
      </c>
      <c r="R374" s="1">
        <v>95.5</v>
      </c>
      <c r="S374" s="1">
        <f t="shared" si="0"/>
        <v>0</v>
      </c>
      <c r="T374" s="1">
        <f t="shared" si="1"/>
        <v>1</v>
      </c>
      <c r="U374" s="1">
        <f t="shared" si="2"/>
        <v>0</v>
      </c>
      <c r="V374" s="1">
        <v>147</v>
      </c>
      <c r="W374" s="1">
        <v>124.5</v>
      </c>
      <c r="AB374" s="24"/>
      <c r="AC374" s="24"/>
      <c r="AD374" s="24"/>
      <c r="AE374" s="24"/>
    </row>
    <row r="375" spans="11:31" ht="28.2" customHeight="1" x14ac:dyDescent="0.3">
      <c r="K375" s="24">
        <v>102.5</v>
      </c>
      <c r="L375" s="24">
        <v>156.5</v>
      </c>
      <c r="M375" s="4" t="s">
        <v>83</v>
      </c>
      <c r="N375" s="4">
        <v>96</v>
      </c>
      <c r="O375" s="4">
        <v>137.5</v>
      </c>
      <c r="Q375" s="1">
        <v>96</v>
      </c>
      <c r="R375" s="1">
        <v>102.5</v>
      </c>
      <c r="S375" s="1">
        <f t="shared" si="0"/>
        <v>1</v>
      </c>
      <c r="T375" s="1">
        <f t="shared" si="1"/>
        <v>0</v>
      </c>
      <c r="U375" s="1">
        <f t="shared" si="2"/>
        <v>0</v>
      </c>
      <c r="V375" s="1">
        <v>156.5</v>
      </c>
      <c r="W375" s="1">
        <v>137.5</v>
      </c>
      <c r="AB375" s="24"/>
      <c r="AC375" s="24"/>
      <c r="AD375" s="24"/>
      <c r="AE375" s="24"/>
    </row>
    <row r="376" spans="11:31" ht="28.2" customHeight="1" x14ac:dyDescent="0.3">
      <c r="K376" s="24">
        <v>102.5</v>
      </c>
      <c r="L376" s="24">
        <v>147</v>
      </c>
      <c r="M376" s="4" t="s">
        <v>83</v>
      </c>
      <c r="N376" s="4">
        <v>91</v>
      </c>
      <c r="O376" s="4">
        <v>133</v>
      </c>
      <c r="Q376" s="1">
        <v>91</v>
      </c>
      <c r="R376" s="1">
        <v>102.5</v>
      </c>
      <c r="S376" s="1">
        <f t="shared" si="0"/>
        <v>1</v>
      </c>
      <c r="T376" s="1">
        <f t="shared" si="1"/>
        <v>0</v>
      </c>
      <c r="U376" s="1">
        <f t="shared" si="2"/>
        <v>0</v>
      </c>
      <c r="V376" s="1">
        <v>147</v>
      </c>
      <c r="W376" s="1">
        <v>133</v>
      </c>
      <c r="AB376" s="24"/>
      <c r="AC376" s="24"/>
      <c r="AD376" s="24"/>
      <c r="AE376" s="24"/>
    </row>
    <row r="377" spans="11:31" ht="28.2" customHeight="1" x14ac:dyDescent="0.3">
      <c r="K377" s="24">
        <v>106</v>
      </c>
      <c r="L377" s="24">
        <v>148</v>
      </c>
      <c r="M377" s="4" t="s">
        <v>87</v>
      </c>
      <c r="N377" s="4">
        <v>93.5</v>
      </c>
      <c r="O377" s="4">
        <v>135</v>
      </c>
      <c r="Q377" s="1">
        <v>93.5</v>
      </c>
      <c r="R377" s="1">
        <v>106</v>
      </c>
      <c r="S377" s="1">
        <f t="shared" si="0"/>
        <v>0</v>
      </c>
      <c r="T377" s="1">
        <f t="shared" si="1"/>
        <v>0</v>
      </c>
      <c r="U377" s="1">
        <f t="shared" si="2"/>
        <v>0</v>
      </c>
      <c r="V377" s="1">
        <v>148</v>
      </c>
      <c r="W377" s="1">
        <v>135</v>
      </c>
      <c r="AB377" s="24"/>
      <c r="AC377" s="24"/>
      <c r="AD377" s="24"/>
      <c r="AE377" s="24"/>
    </row>
    <row r="378" spans="11:31" ht="28.2" customHeight="1" x14ac:dyDescent="0.3">
      <c r="K378" s="24">
        <v>97.5</v>
      </c>
      <c r="L378" s="24">
        <v>151.5</v>
      </c>
      <c r="M378" s="4" t="s">
        <v>87</v>
      </c>
      <c r="N378" s="4">
        <v>88.5</v>
      </c>
      <c r="O378" s="4">
        <v>132</v>
      </c>
      <c r="Q378" s="1">
        <v>88.5</v>
      </c>
      <c r="R378" s="1">
        <v>97.5</v>
      </c>
      <c r="S378" s="1">
        <f t="shared" si="0"/>
        <v>0</v>
      </c>
      <c r="T378" s="1">
        <f t="shared" si="1"/>
        <v>0</v>
      </c>
      <c r="U378" s="1">
        <f t="shared" si="2"/>
        <v>0</v>
      </c>
      <c r="V378" s="1">
        <v>151.5</v>
      </c>
      <c r="W378" s="1">
        <v>132</v>
      </c>
      <c r="AB378" s="24"/>
      <c r="AC378" s="24"/>
      <c r="AD378" s="24"/>
      <c r="AE378" s="24"/>
    </row>
    <row r="379" spans="11:31" ht="28.2" customHeight="1" x14ac:dyDescent="0.3">
      <c r="K379" s="24">
        <v>102</v>
      </c>
      <c r="L379" s="24">
        <v>155</v>
      </c>
      <c r="M379" s="4" t="s">
        <v>85</v>
      </c>
      <c r="N379" s="4">
        <v>91.5</v>
      </c>
      <c r="O379" s="4">
        <v>137</v>
      </c>
      <c r="Q379" s="1">
        <v>91.5</v>
      </c>
      <c r="R379" s="1">
        <v>102</v>
      </c>
      <c r="S379" s="1">
        <f t="shared" si="0"/>
        <v>0</v>
      </c>
      <c r="T379" s="1">
        <f t="shared" si="1"/>
        <v>0</v>
      </c>
      <c r="U379" s="1">
        <f t="shared" si="2"/>
        <v>1</v>
      </c>
      <c r="V379" s="1">
        <v>155</v>
      </c>
      <c r="W379" s="1">
        <v>137</v>
      </c>
      <c r="AB379" s="24"/>
      <c r="AC379" s="24"/>
      <c r="AD379" s="24"/>
      <c r="AE379" s="24"/>
    </row>
    <row r="380" spans="11:31" ht="28.2" customHeight="1" x14ac:dyDescent="0.3">
      <c r="K380" s="24">
        <v>103</v>
      </c>
      <c r="L380" s="24">
        <v>159</v>
      </c>
      <c r="M380" s="4" t="s">
        <v>87</v>
      </c>
      <c r="N380" s="4">
        <v>94.5</v>
      </c>
      <c r="O380" s="4">
        <v>133</v>
      </c>
      <c r="Q380" s="1">
        <v>94.5</v>
      </c>
      <c r="R380" s="1">
        <v>103</v>
      </c>
      <c r="S380" s="1">
        <f t="shared" si="0"/>
        <v>0</v>
      </c>
      <c r="T380" s="1">
        <f t="shared" si="1"/>
        <v>0</v>
      </c>
      <c r="U380" s="1">
        <f t="shared" si="2"/>
        <v>0</v>
      </c>
      <c r="V380" s="1">
        <v>159</v>
      </c>
      <c r="W380" s="1">
        <v>133</v>
      </c>
      <c r="AB380" s="24"/>
      <c r="AC380" s="24"/>
      <c r="AD380" s="24"/>
      <c r="AE380" s="24"/>
    </row>
    <row r="381" spans="11:31" ht="28.2" customHeight="1" x14ac:dyDescent="0.3">
      <c r="K381" s="24">
        <v>104.5</v>
      </c>
      <c r="L381" s="24">
        <v>154</v>
      </c>
      <c r="M381" s="4" t="s">
        <v>85</v>
      </c>
      <c r="N381" s="4">
        <v>96</v>
      </c>
      <c r="O381" s="4">
        <v>132.5</v>
      </c>
      <c r="Q381" s="1">
        <v>96</v>
      </c>
      <c r="R381" s="1">
        <v>104.5</v>
      </c>
      <c r="S381" s="1">
        <f t="shared" si="0"/>
        <v>0</v>
      </c>
      <c r="T381" s="1">
        <f t="shared" si="1"/>
        <v>0</v>
      </c>
      <c r="U381" s="1">
        <f t="shared" si="2"/>
        <v>1</v>
      </c>
      <c r="V381" s="1">
        <v>154</v>
      </c>
      <c r="W381" s="1">
        <v>132.5</v>
      </c>
      <c r="AB381" s="24"/>
      <c r="AC381" s="24"/>
      <c r="AD381" s="24"/>
      <c r="AE381" s="24"/>
    </row>
    <row r="382" spans="11:31" ht="28.2" customHeight="1" x14ac:dyDescent="0.3">
      <c r="K382" s="24">
        <v>112</v>
      </c>
      <c r="L382" s="24">
        <v>157.5</v>
      </c>
      <c r="M382" s="4" t="s">
        <v>83</v>
      </c>
      <c r="N382" s="4">
        <v>97</v>
      </c>
      <c r="O382" s="4">
        <v>137.5</v>
      </c>
      <c r="Q382" s="1">
        <v>97</v>
      </c>
      <c r="R382" s="1">
        <v>112</v>
      </c>
      <c r="S382" s="1">
        <f t="shared" si="0"/>
        <v>1</v>
      </c>
      <c r="T382" s="1">
        <f t="shared" si="1"/>
        <v>0</v>
      </c>
      <c r="U382" s="1">
        <f t="shared" si="2"/>
        <v>0</v>
      </c>
      <c r="V382" s="1">
        <v>157.5</v>
      </c>
      <c r="W382" s="1">
        <v>137.5</v>
      </c>
      <c r="AB382" s="24"/>
      <c r="AC382" s="24"/>
      <c r="AD382" s="24"/>
      <c r="AE382" s="24"/>
    </row>
    <row r="383" spans="11:31" ht="28.2" customHeight="1" x14ac:dyDescent="0.3">
      <c r="K383" s="24">
        <v>104</v>
      </c>
      <c r="L383" s="24">
        <v>153</v>
      </c>
      <c r="M383" s="4" t="s">
        <v>83</v>
      </c>
      <c r="N383" s="4">
        <v>101.5</v>
      </c>
      <c r="O383" s="4">
        <v>143</v>
      </c>
      <c r="Q383" s="1">
        <v>101.5</v>
      </c>
      <c r="R383" s="1">
        <v>104</v>
      </c>
      <c r="S383" s="1">
        <f t="shared" si="0"/>
        <v>1</v>
      </c>
      <c r="T383" s="1">
        <f t="shared" si="1"/>
        <v>0</v>
      </c>
      <c r="U383" s="1">
        <f t="shared" si="2"/>
        <v>0</v>
      </c>
      <c r="V383" s="1">
        <v>153</v>
      </c>
      <c r="W383" s="1">
        <v>143</v>
      </c>
      <c r="AB383" s="24"/>
      <c r="AC383" s="24"/>
      <c r="AD383" s="24"/>
      <c r="AE383" s="24"/>
    </row>
    <row r="384" spans="11:31" ht="28.2" customHeight="1" x14ac:dyDescent="0.3">
      <c r="K384" s="24">
        <v>104</v>
      </c>
      <c r="L384" s="24">
        <v>147</v>
      </c>
      <c r="M384" s="4" t="s">
        <v>86</v>
      </c>
      <c r="N384" s="4">
        <v>93.5</v>
      </c>
      <c r="O384" s="4">
        <v>129</v>
      </c>
      <c r="Q384" s="1">
        <v>93.5</v>
      </c>
      <c r="R384" s="1">
        <v>104</v>
      </c>
      <c r="S384" s="1">
        <f t="shared" si="0"/>
        <v>0</v>
      </c>
      <c r="T384" s="1">
        <f t="shared" si="1"/>
        <v>1</v>
      </c>
      <c r="U384" s="1">
        <f t="shared" si="2"/>
        <v>0</v>
      </c>
      <c r="V384" s="1">
        <v>147</v>
      </c>
      <c r="W384" s="1">
        <v>129</v>
      </c>
      <c r="AB384" s="24"/>
      <c r="AC384" s="24"/>
      <c r="AD384" s="24"/>
      <c r="AE384" s="24"/>
    </row>
    <row r="385" spans="11:31" ht="28.2" customHeight="1" x14ac:dyDescent="0.3">
      <c r="K385" s="24">
        <v>100.5</v>
      </c>
      <c r="L385" s="24">
        <v>148</v>
      </c>
      <c r="M385" s="4" t="s">
        <v>83</v>
      </c>
      <c r="N385" s="4">
        <v>97.5</v>
      </c>
      <c r="O385" s="4">
        <v>132</v>
      </c>
      <c r="Q385" s="1">
        <v>97.5</v>
      </c>
      <c r="R385" s="1">
        <v>100.5</v>
      </c>
      <c r="S385" s="1">
        <f t="shared" si="0"/>
        <v>1</v>
      </c>
      <c r="T385" s="1">
        <f t="shared" si="1"/>
        <v>0</v>
      </c>
      <c r="U385" s="1">
        <f t="shared" si="2"/>
        <v>0</v>
      </c>
      <c r="V385" s="1">
        <v>148</v>
      </c>
      <c r="W385" s="1">
        <v>132</v>
      </c>
      <c r="AB385" s="24"/>
      <c r="AC385" s="24"/>
      <c r="AD385" s="24"/>
      <c r="AE385" s="24"/>
    </row>
    <row r="386" spans="11:31" ht="28.2" customHeight="1" x14ac:dyDescent="0.3">
      <c r="K386" s="24">
        <v>103</v>
      </c>
      <c r="L386" s="24">
        <v>152.5</v>
      </c>
      <c r="M386" s="4" t="s">
        <v>83</v>
      </c>
      <c r="N386" s="4">
        <v>99.5</v>
      </c>
      <c r="O386" s="4">
        <v>139</v>
      </c>
      <c r="Q386" s="1">
        <v>99.5</v>
      </c>
      <c r="R386" s="1">
        <v>103</v>
      </c>
      <c r="S386" s="1">
        <f t="shared" si="0"/>
        <v>1</v>
      </c>
      <c r="T386" s="1">
        <f t="shared" si="1"/>
        <v>0</v>
      </c>
      <c r="U386" s="1">
        <f t="shared" si="2"/>
        <v>0</v>
      </c>
      <c r="V386" s="1">
        <v>152.5</v>
      </c>
      <c r="W386" s="1">
        <v>139</v>
      </c>
      <c r="AB386" s="24"/>
      <c r="AC386" s="24"/>
      <c r="AD386" s="24"/>
      <c r="AE386" s="24"/>
    </row>
    <row r="387" spans="11:31" ht="28.2" customHeight="1" x14ac:dyDescent="0.3">
      <c r="K387" s="24">
        <v>101.5</v>
      </c>
      <c r="L387" s="24">
        <v>152</v>
      </c>
      <c r="M387" s="4" t="s">
        <v>83</v>
      </c>
      <c r="N387" s="4">
        <v>99.5</v>
      </c>
      <c r="O387" s="4">
        <v>142.5</v>
      </c>
      <c r="Q387" s="1">
        <v>99.5</v>
      </c>
      <c r="R387" s="1">
        <v>101.5</v>
      </c>
      <c r="S387" s="1">
        <f t="shared" si="0"/>
        <v>1</v>
      </c>
      <c r="T387" s="1">
        <f t="shared" si="1"/>
        <v>0</v>
      </c>
      <c r="U387" s="1">
        <f t="shared" si="2"/>
        <v>0</v>
      </c>
      <c r="V387" s="1">
        <v>152</v>
      </c>
      <c r="W387" s="1">
        <v>142.5</v>
      </c>
      <c r="AB387" s="24"/>
      <c r="AC387" s="24"/>
      <c r="AD387" s="24"/>
      <c r="AE387" s="24"/>
    </row>
    <row r="388" spans="11:31" ht="28.2" customHeight="1" x14ac:dyDescent="0.3">
      <c r="K388" s="24">
        <v>108.5</v>
      </c>
      <c r="L388" s="24">
        <v>155.5</v>
      </c>
      <c r="M388" s="4" t="s">
        <v>83</v>
      </c>
      <c r="N388" s="4">
        <v>99</v>
      </c>
      <c r="O388" s="4">
        <v>142</v>
      </c>
      <c r="Q388" s="1">
        <v>99</v>
      </c>
      <c r="R388" s="1">
        <v>108.5</v>
      </c>
      <c r="S388" s="1">
        <f t="shared" si="0"/>
        <v>1</v>
      </c>
      <c r="T388" s="1">
        <f t="shared" si="1"/>
        <v>0</v>
      </c>
      <c r="U388" s="1">
        <f t="shared" si="2"/>
        <v>0</v>
      </c>
      <c r="V388" s="1">
        <v>155.5</v>
      </c>
      <c r="W388" s="1">
        <v>142</v>
      </c>
      <c r="AB388" s="24"/>
      <c r="AC388" s="24"/>
      <c r="AD388" s="24"/>
      <c r="AE388" s="24"/>
    </row>
    <row r="389" spans="11:31" ht="28.2" customHeight="1" x14ac:dyDescent="0.3">
      <c r="K389" s="24">
        <v>100.5</v>
      </c>
      <c r="L389" s="24">
        <v>142</v>
      </c>
      <c r="M389" s="4" t="s">
        <v>86</v>
      </c>
      <c r="N389" s="4">
        <v>92</v>
      </c>
      <c r="O389" s="4">
        <v>127</v>
      </c>
      <c r="Q389" s="1">
        <v>92</v>
      </c>
      <c r="R389" s="1">
        <v>100.5</v>
      </c>
      <c r="S389" s="1">
        <f t="shared" si="0"/>
        <v>0</v>
      </c>
      <c r="T389" s="1">
        <f t="shared" si="1"/>
        <v>1</v>
      </c>
      <c r="U389" s="1">
        <f t="shared" si="2"/>
        <v>0</v>
      </c>
      <c r="V389" s="1">
        <v>142</v>
      </c>
      <c r="W389" s="1">
        <v>127</v>
      </c>
      <c r="AB389" s="24"/>
      <c r="AC389" s="24"/>
      <c r="AD389" s="24"/>
      <c r="AE389" s="24"/>
    </row>
    <row r="390" spans="11:31" ht="28.2" customHeight="1" x14ac:dyDescent="0.3">
      <c r="K390" s="24">
        <v>101</v>
      </c>
      <c r="L390" s="24">
        <v>156.5</v>
      </c>
      <c r="M390" s="4" t="s">
        <v>85</v>
      </c>
      <c r="N390" s="4">
        <v>97</v>
      </c>
      <c r="O390" s="4">
        <v>143.5</v>
      </c>
      <c r="Q390" s="1">
        <v>97</v>
      </c>
      <c r="R390" s="1">
        <v>101</v>
      </c>
      <c r="S390" s="1">
        <f t="shared" si="0"/>
        <v>0</v>
      </c>
      <c r="T390" s="1">
        <f t="shared" si="1"/>
        <v>0</v>
      </c>
      <c r="U390" s="1">
        <f t="shared" si="2"/>
        <v>1</v>
      </c>
      <c r="V390" s="1">
        <v>156.5</v>
      </c>
      <c r="W390" s="1">
        <v>143.5</v>
      </c>
      <c r="AB390" s="24"/>
      <c r="AC390" s="24"/>
      <c r="AD390" s="24"/>
      <c r="AE390" s="24"/>
    </row>
    <row r="391" spans="11:31" ht="28.2" customHeight="1" x14ac:dyDescent="0.3">
      <c r="K391" s="24">
        <v>111.5</v>
      </c>
      <c r="L391" s="24">
        <v>161.5</v>
      </c>
      <c r="M391" s="4" t="s">
        <v>83</v>
      </c>
      <c r="N391" s="4">
        <v>101</v>
      </c>
      <c r="O391" s="4">
        <v>143.5</v>
      </c>
      <c r="Q391" s="1">
        <v>101</v>
      </c>
      <c r="R391" s="1">
        <v>111.5</v>
      </c>
      <c r="S391" s="1">
        <f t="shared" si="0"/>
        <v>1</v>
      </c>
      <c r="T391" s="1">
        <f t="shared" si="1"/>
        <v>0</v>
      </c>
      <c r="U391" s="1">
        <f t="shared" si="2"/>
        <v>0</v>
      </c>
      <c r="V391" s="1">
        <v>161.5</v>
      </c>
      <c r="W391" s="1">
        <v>143.5</v>
      </c>
      <c r="AB391" s="24"/>
      <c r="AC391" s="24"/>
      <c r="AD391" s="24"/>
      <c r="AE391" s="24"/>
    </row>
    <row r="392" spans="11:31" ht="28.2" customHeight="1" x14ac:dyDescent="0.3">
      <c r="K392" s="24">
        <v>95</v>
      </c>
      <c r="L392" s="24">
        <v>150.5</v>
      </c>
      <c r="M392" s="4" t="s">
        <v>83</v>
      </c>
      <c r="N392" s="4">
        <v>89.5</v>
      </c>
      <c r="O392" s="4">
        <v>136</v>
      </c>
      <c r="Q392" s="1">
        <v>89.5</v>
      </c>
      <c r="R392" s="1">
        <v>95</v>
      </c>
      <c r="S392" s="1">
        <f t="shared" si="0"/>
        <v>1</v>
      </c>
      <c r="T392" s="1">
        <f t="shared" si="1"/>
        <v>0</v>
      </c>
      <c r="U392" s="1">
        <f t="shared" si="2"/>
        <v>0</v>
      </c>
      <c r="V392" s="1">
        <v>150.5</v>
      </c>
      <c r="W392" s="1">
        <v>136</v>
      </c>
      <c r="AB392" s="24"/>
      <c r="AC392" s="24"/>
      <c r="AD392" s="24"/>
      <c r="AE392" s="24"/>
    </row>
    <row r="393" spans="11:31" ht="28.2" customHeight="1" x14ac:dyDescent="0.3">
      <c r="K393" s="24">
        <v>101.5</v>
      </c>
      <c r="L393" s="24">
        <v>152</v>
      </c>
      <c r="M393" s="4" t="s">
        <v>83</v>
      </c>
      <c r="N393" s="4">
        <v>96.5</v>
      </c>
      <c r="O393" s="4">
        <v>133</v>
      </c>
      <c r="Q393" s="1">
        <v>96.5</v>
      </c>
      <c r="R393" s="1">
        <v>101.5</v>
      </c>
      <c r="S393" s="1">
        <f t="shared" si="0"/>
        <v>1</v>
      </c>
      <c r="T393" s="1">
        <f t="shared" si="1"/>
        <v>0</v>
      </c>
      <c r="U393" s="1">
        <f t="shared" si="2"/>
        <v>0</v>
      </c>
      <c r="V393" s="1">
        <v>152</v>
      </c>
      <c r="W393" s="1">
        <v>133</v>
      </c>
      <c r="AB393" s="24"/>
      <c r="AC393" s="24"/>
      <c r="AD393" s="24"/>
      <c r="AE393" s="24"/>
    </row>
    <row r="394" spans="11:31" ht="28.2" customHeight="1" x14ac:dyDescent="0.3">
      <c r="K394" s="24">
        <v>103.5</v>
      </c>
      <c r="L394" s="24">
        <v>151.5</v>
      </c>
      <c r="M394" s="4" t="s">
        <v>86</v>
      </c>
      <c r="N394" s="4">
        <v>91.5</v>
      </c>
      <c r="O394" s="4">
        <v>130.5</v>
      </c>
      <c r="Q394" s="1">
        <v>91.5</v>
      </c>
      <c r="R394" s="1">
        <v>103.5</v>
      </c>
      <c r="S394" s="1">
        <f t="shared" si="0"/>
        <v>0</v>
      </c>
      <c r="T394" s="1">
        <f t="shared" si="1"/>
        <v>1</v>
      </c>
      <c r="U394" s="1">
        <f t="shared" si="2"/>
        <v>0</v>
      </c>
      <c r="V394" s="1">
        <v>151.5</v>
      </c>
      <c r="W394" s="1">
        <v>130.5</v>
      </c>
      <c r="AB394" s="24"/>
      <c r="AC394" s="24"/>
      <c r="AD394" s="24"/>
      <c r="AE394" s="24"/>
    </row>
    <row r="395" spans="11:31" ht="28.2" customHeight="1" x14ac:dyDescent="0.3">
      <c r="K395" s="24">
        <v>101</v>
      </c>
      <c r="L395" s="24">
        <v>149.5</v>
      </c>
      <c r="M395" s="4" t="s">
        <v>87</v>
      </c>
      <c r="N395" s="4">
        <v>95</v>
      </c>
      <c r="O395" s="4">
        <v>132.5</v>
      </c>
      <c r="Q395" s="1">
        <v>95</v>
      </c>
      <c r="R395" s="1">
        <v>101</v>
      </c>
      <c r="S395" s="1">
        <f t="shared" si="0"/>
        <v>0</v>
      </c>
      <c r="T395" s="1">
        <f t="shared" si="1"/>
        <v>0</v>
      </c>
      <c r="U395" s="1">
        <f t="shared" si="2"/>
        <v>0</v>
      </c>
      <c r="V395" s="1">
        <v>149.5</v>
      </c>
      <c r="W395" s="1">
        <v>132.5</v>
      </c>
      <c r="AB395" s="24"/>
      <c r="AC395" s="24"/>
      <c r="AD395" s="24"/>
      <c r="AE395" s="24"/>
    </row>
    <row r="396" spans="11:31" ht="28.2" customHeight="1" x14ac:dyDescent="0.3">
      <c r="K396" s="24">
        <v>105.5</v>
      </c>
      <c r="L396" s="24">
        <v>151</v>
      </c>
      <c r="M396" s="4" t="s">
        <v>83</v>
      </c>
      <c r="N396" s="4">
        <v>95.5</v>
      </c>
      <c r="O396" s="4">
        <v>141</v>
      </c>
      <c r="Q396" s="1">
        <v>95.5</v>
      </c>
      <c r="R396" s="1">
        <v>105.5</v>
      </c>
      <c r="S396" s="1">
        <f t="shared" si="0"/>
        <v>1</v>
      </c>
      <c r="T396" s="1">
        <f t="shared" si="1"/>
        <v>0</v>
      </c>
      <c r="U396" s="1">
        <f t="shared" si="2"/>
        <v>0</v>
      </c>
      <c r="V396" s="1">
        <v>151</v>
      </c>
      <c r="W396" s="1">
        <v>141</v>
      </c>
      <c r="AB396" s="24"/>
      <c r="AC396" s="24"/>
      <c r="AD396" s="24"/>
      <c r="AE396" s="24"/>
    </row>
    <row r="397" spans="11:31" ht="28.2" customHeight="1" x14ac:dyDescent="0.3">
      <c r="K397" s="24">
        <v>97</v>
      </c>
      <c r="L397" s="24">
        <v>152.5</v>
      </c>
      <c r="M397" s="4" t="s">
        <v>83</v>
      </c>
      <c r="N397" s="4">
        <v>93.5</v>
      </c>
      <c r="O397" s="4">
        <v>133.5</v>
      </c>
      <c r="Q397" s="1">
        <v>93.5</v>
      </c>
      <c r="R397" s="1">
        <v>97</v>
      </c>
      <c r="S397" s="1">
        <f t="shared" si="0"/>
        <v>1</v>
      </c>
      <c r="T397" s="1">
        <f t="shared" si="1"/>
        <v>0</v>
      </c>
      <c r="U397" s="1">
        <f t="shared" si="2"/>
        <v>0</v>
      </c>
      <c r="V397" s="1">
        <v>152.5</v>
      </c>
      <c r="W397" s="1">
        <v>133.5</v>
      </c>
      <c r="AB397" s="24"/>
      <c r="AC397" s="24"/>
      <c r="AD397" s="24"/>
      <c r="AE397" s="24"/>
    </row>
    <row r="398" spans="11:31" ht="28.2" customHeight="1" x14ac:dyDescent="0.3">
      <c r="K398" s="24">
        <v>96.5</v>
      </c>
      <c r="L398" s="24">
        <v>148</v>
      </c>
      <c r="M398" s="4" t="s">
        <v>85</v>
      </c>
      <c r="N398" s="4">
        <v>95</v>
      </c>
      <c r="O398" s="4">
        <v>131</v>
      </c>
      <c r="Q398" s="1">
        <v>95</v>
      </c>
      <c r="R398" s="1">
        <v>96.5</v>
      </c>
      <c r="S398" s="1">
        <f t="shared" si="0"/>
        <v>0</v>
      </c>
      <c r="T398" s="1">
        <f t="shared" si="1"/>
        <v>0</v>
      </c>
      <c r="U398" s="1">
        <f t="shared" si="2"/>
        <v>1</v>
      </c>
      <c r="V398" s="1">
        <v>148</v>
      </c>
      <c r="W398" s="1">
        <v>131</v>
      </c>
      <c r="Y398" s="24" t="s">
        <v>108</v>
      </c>
      <c r="Z398" s="24"/>
      <c r="AA398" s="24"/>
      <c r="AB398" s="24"/>
      <c r="AC398" s="24"/>
      <c r="AD398" s="24"/>
      <c r="AE398" s="24"/>
    </row>
    <row r="399" spans="11:31" ht="28.2" customHeight="1" thickBot="1" x14ac:dyDescent="0.35">
      <c r="K399" s="24">
        <v>99</v>
      </c>
      <c r="L399" s="24">
        <v>149</v>
      </c>
      <c r="M399" s="4" t="s">
        <v>87</v>
      </c>
      <c r="N399" s="4">
        <v>93</v>
      </c>
      <c r="O399" s="4">
        <v>134</v>
      </c>
      <c r="Q399" s="1">
        <v>93</v>
      </c>
      <c r="R399" s="1">
        <v>99</v>
      </c>
      <c r="S399" s="1">
        <f t="shared" si="0"/>
        <v>0</v>
      </c>
      <c r="T399" s="1">
        <f t="shared" si="1"/>
        <v>0</v>
      </c>
      <c r="U399" s="1">
        <f t="shared" si="2"/>
        <v>0</v>
      </c>
      <c r="V399" s="1">
        <v>149</v>
      </c>
      <c r="W399" s="1">
        <v>134</v>
      </c>
      <c r="Y399" s="24"/>
      <c r="Z399" s="24"/>
      <c r="AA399" s="24"/>
      <c r="AB399" s="24"/>
      <c r="AC399" s="24"/>
      <c r="AD399" s="24"/>
      <c r="AE399" s="24"/>
    </row>
    <row r="400" spans="11:31" ht="28.2" customHeight="1" x14ac:dyDescent="0.3">
      <c r="K400" s="24">
        <v>103.5</v>
      </c>
      <c r="L400" s="24">
        <v>159.5</v>
      </c>
      <c r="M400" s="4" t="s">
        <v>86</v>
      </c>
      <c r="N400" s="4">
        <v>96.5</v>
      </c>
      <c r="O400" s="4">
        <v>150</v>
      </c>
      <c r="Q400" s="1">
        <v>96.5</v>
      </c>
      <c r="R400" s="1">
        <v>103.5</v>
      </c>
      <c r="S400" s="1">
        <f t="shared" si="0"/>
        <v>0</v>
      </c>
      <c r="T400" s="1">
        <f t="shared" si="1"/>
        <v>1</v>
      </c>
      <c r="U400" s="1">
        <f t="shared" si="2"/>
        <v>0</v>
      </c>
      <c r="V400" s="1">
        <v>159.5</v>
      </c>
      <c r="W400" s="1">
        <v>150</v>
      </c>
      <c r="Y400" s="5" t="s">
        <v>109</v>
      </c>
      <c r="Z400" s="5" t="s">
        <v>110</v>
      </c>
      <c r="AA400" s="5" t="s">
        <v>111</v>
      </c>
      <c r="AB400" s="24"/>
      <c r="AC400" s="24"/>
      <c r="AD400" s="24"/>
      <c r="AE400" s="24"/>
    </row>
    <row r="401" spans="11:40" ht="28.2" customHeight="1" x14ac:dyDescent="0.3">
      <c r="K401" s="24">
        <v>100</v>
      </c>
      <c r="L401" s="24">
        <v>152</v>
      </c>
      <c r="M401" s="4" t="s">
        <v>83</v>
      </c>
      <c r="N401" s="4">
        <v>100</v>
      </c>
      <c r="O401" s="4">
        <v>132.5</v>
      </c>
      <c r="Q401" s="1">
        <v>100</v>
      </c>
      <c r="R401" s="1">
        <v>100</v>
      </c>
      <c r="S401" s="1">
        <f t="shared" si="0"/>
        <v>1</v>
      </c>
      <c r="T401" s="1">
        <f t="shared" si="1"/>
        <v>0</v>
      </c>
      <c r="U401" s="1">
        <f t="shared" si="2"/>
        <v>0</v>
      </c>
      <c r="V401" s="1">
        <v>152</v>
      </c>
      <c r="W401" s="1">
        <v>132.5</v>
      </c>
      <c r="Y401" s="24">
        <v>1</v>
      </c>
      <c r="Z401" s="24">
        <v>103.41495383889804</v>
      </c>
      <c r="AA401" s="24">
        <v>4.5850461611019568</v>
      </c>
      <c r="AB401" s="24"/>
      <c r="AC401" s="24"/>
      <c r="AD401" s="24"/>
      <c r="AE401" s="24"/>
    </row>
    <row r="402" spans="11:40" ht="28.2" customHeight="1" x14ac:dyDescent="0.3">
      <c r="K402" s="24">
        <v>100</v>
      </c>
      <c r="L402" s="24">
        <v>157.5</v>
      </c>
      <c r="M402" s="4" t="s">
        <v>87</v>
      </c>
      <c r="N402" s="4">
        <v>89.5</v>
      </c>
      <c r="O402" s="4">
        <v>132.5</v>
      </c>
      <c r="Q402" s="1">
        <v>89.5</v>
      </c>
      <c r="R402" s="1">
        <v>100</v>
      </c>
      <c r="S402" s="1">
        <f t="shared" si="0"/>
        <v>0</v>
      </c>
      <c r="T402" s="1">
        <f t="shared" si="1"/>
        <v>0</v>
      </c>
      <c r="U402" s="1">
        <f t="shared" si="2"/>
        <v>0</v>
      </c>
      <c r="V402" s="1">
        <v>157.5</v>
      </c>
      <c r="W402" s="1">
        <v>132.5</v>
      </c>
      <c r="Y402" s="24">
        <v>2</v>
      </c>
      <c r="Z402" s="24">
        <v>100.34108828484656</v>
      </c>
      <c r="AA402" s="24">
        <v>-4.3410882848465633</v>
      </c>
      <c r="AB402" s="24"/>
      <c r="AC402" s="24"/>
      <c r="AD402" s="24"/>
      <c r="AE402" s="24"/>
    </row>
    <row r="403" spans="11:40" ht="28.2" customHeight="1" x14ac:dyDescent="0.3">
      <c r="K403" s="24">
        <v>98</v>
      </c>
      <c r="L403" s="24">
        <v>149</v>
      </c>
      <c r="M403" s="4" t="s">
        <v>83</v>
      </c>
      <c r="N403" s="4">
        <v>99</v>
      </c>
      <c r="O403" s="4">
        <v>143</v>
      </c>
      <c r="Q403" s="1">
        <v>99</v>
      </c>
      <c r="R403" s="1">
        <v>98</v>
      </c>
      <c r="S403" s="1">
        <f t="shared" si="0"/>
        <v>1</v>
      </c>
      <c r="T403" s="1">
        <f t="shared" si="1"/>
        <v>0</v>
      </c>
      <c r="U403" s="1">
        <f t="shared" si="2"/>
        <v>0</v>
      </c>
      <c r="V403" s="1">
        <v>149</v>
      </c>
      <c r="W403" s="1">
        <v>143</v>
      </c>
      <c r="Y403" s="24">
        <v>3</v>
      </c>
      <c r="Z403" s="24">
        <v>93.328105301014077</v>
      </c>
      <c r="AA403" s="24">
        <v>1.1718946989859234</v>
      </c>
      <c r="AB403" s="24"/>
      <c r="AC403" s="24"/>
      <c r="AD403" s="24"/>
      <c r="AE403" s="24"/>
      <c r="AL403" s="24" t="s">
        <v>108</v>
      </c>
    </row>
    <row r="404" spans="11:40" ht="28.2" customHeight="1" thickBot="1" x14ac:dyDescent="0.35">
      <c r="K404" s="24">
        <v>101</v>
      </c>
      <c r="L404" s="24">
        <v>151</v>
      </c>
      <c r="M404" s="4" t="s">
        <v>83</v>
      </c>
      <c r="N404" s="4">
        <v>94.5</v>
      </c>
      <c r="O404" s="4">
        <v>137.5</v>
      </c>
      <c r="Q404" s="1">
        <v>94.5</v>
      </c>
      <c r="R404" s="1">
        <v>101</v>
      </c>
      <c r="S404" s="1">
        <f t="shared" si="0"/>
        <v>1</v>
      </c>
      <c r="T404" s="1">
        <f t="shared" si="1"/>
        <v>0</v>
      </c>
      <c r="U404" s="1">
        <f t="shared" si="2"/>
        <v>0</v>
      </c>
      <c r="V404" s="1">
        <v>151</v>
      </c>
      <c r="W404" s="1">
        <v>137.5</v>
      </c>
      <c r="Y404" s="24">
        <v>4</v>
      </c>
      <c r="Z404" s="24">
        <v>98.187631871472362</v>
      </c>
      <c r="AA404" s="24">
        <v>-2.6876318714723624</v>
      </c>
      <c r="AB404" s="24"/>
      <c r="AC404" s="24"/>
      <c r="AD404" s="24"/>
      <c r="AE404" s="24"/>
    </row>
    <row r="405" spans="11:40" ht="28.2" customHeight="1" x14ac:dyDescent="0.3">
      <c r="K405" s="24">
        <v>101</v>
      </c>
      <c r="L405" s="24">
        <v>150.5</v>
      </c>
      <c r="M405" s="4" t="s">
        <v>86</v>
      </c>
      <c r="N405" s="4">
        <v>92</v>
      </c>
      <c r="O405" s="4">
        <v>126.5</v>
      </c>
      <c r="Q405" s="1">
        <v>92</v>
      </c>
      <c r="R405" s="1">
        <v>101</v>
      </c>
      <c r="S405" s="1">
        <f t="shared" si="0"/>
        <v>0</v>
      </c>
      <c r="T405" s="1">
        <f t="shared" si="1"/>
        <v>1</v>
      </c>
      <c r="U405" s="1">
        <f t="shared" si="2"/>
        <v>0</v>
      </c>
      <c r="V405" s="1">
        <v>150.5</v>
      </c>
      <c r="W405" s="1">
        <v>126.5</v>
      </c>
      <c r="Y405" s="24">
        <v>5</v>
      </c>
      <c r="Z405" s="24">
        <v>99.146181587869563</v>
      </c>
      <c r="AA405" s="24">
        <v>-0.64618158786956315</v>
      </c>
      <c r="AB405" s="24"/>
      <c r="AC405" s="24"/>
      <c r="AD405" s="24"/>
      <c r="AE405" s="24"/>
      <c r="AL405" s="5" t="s">
        <v>109</v>
      </c>
      <c r="AM405" s="5" t="s">
        <v>115</v>
      </c>
      <c r="AN405" s="5" t="s">
        <v>111</v>
      </c>
    </row>
    <row r="406" spans="11:40" ht="28.2" customHeight="1" x14ac:dyDescent="0.3">
      <c r="K406" s="24">
        <v>103.5</v>
      </c>
      <c r="L406" s="24">
        <v>146.5</v>
      </c>
      <c r="M406" s="4" t="s">
        <v>83</v>
      </c>
      <c r="N406" s="4">
        <v>94</v>
      </c>
      <c r="O406" s="4">
        <v>136</v>
      </c>
      <c r="Q406" s="1">
        <v>94</v>
      </c>
      <c r="R406" s="1">
        <v>103.5</v>
      </c>
      <c r="S406" s="1">
        <f t="shared" si="0"/>
        <v>1</v>
      </c>
      <c r="T406" s="1">
        <f t="shared" si="1"/>
        <v>0</v>
      </c>
      <c r="U406" s="1">
        <f t="shared" si="2"/>
        <v>0</v>
      </c>
      <c r="V406" s="1">
        <v>146.5</v>
      </c>
      <c r="W406" s="1">
        <v>136</v>
      </c>
      <c r="Y406" s="24">
        <v>6</v>
      </c>
      <c r="Z406" s="24">
        <v>98.492544175117246</v>
      </c>
      <c r="AA406" s="24">
        <v>6.0074558248827543</v>
      </c>
      <c r="AB406" s="24"/>
      <c r="AC406" s="24"/>
      <c r="AD406" s="24"/>
      <c r="AE406" s="24"/>
      <c r="AL406" s="24">
        <v>1</v>
      </c>
      <c r="AM406" s="24">
        <v>147.67546511097251</v>
      </c>
      <c r="AN406" s="24">
        <v>3.8245348890274897</v>
      </c>
    </row>
    <row r="407" spans="11:40" ht="28.2" customHeight="1" x14ac:dyDescent="0.3">
      <c r="K407" s="24">
        <v>103</v>
      </c>
      <c r="L407" s="24">
        <v>149</v>
      </c>
      <c r="M407" s="4" t="s">
        <v>83</v>
      </c>
      <c r="N407" s="4">
        <v>101.5</v>
      </c>
      <c r="O407" s="4">
        <v>140.5</v>
      </c>
      <c r="Q407" s="1">
        <v>101.5</v>
      </c>
      <c r="R407" s="1">
        <v>103</v>
      </c>
      <c r="S407" s="1">
        <f t="shared" si="0"/>
        <v>1</v>
      </c>
      <c r="T407" s="1">
        <f t="shared" si="1"/>
        <v>0</v>
      </c>
      <c r="U407" s="1">
        <f t="shared" si="2"/>
        <v>0</v>
      </c>
      <c r="V407" s="1">
        <v>149</v>
      </c>
      <c r="W407" s="1">
        <v>140.5</v>
      </c>
      <c r="Y407" s="24">
        <v>7</v>
      </c>
      <c r="Z407" s="24">
        <v>96.097058551420645</v>
      </c>
      <c r="AA407" s="24">
        <v>-4.0970585514206448</v>
      </c>
      <c r="AB407" s="24"/>
      <c r="AC407" s="24"/>
      <c r="AD407" s="24"/>
      <c r="AE407" s="24"/>
      <c r="AL407" s="24">
        <v>2</v>
      </c>
      <c r="AM407" s="24">
        <v>139.30103807149524</v>
      </c>
      <c r="AN407" s="24">
        <v>6.1989619285047581</v>
      </c>
    </row>
    <row r="408" spans="11:40" ht="28.2" customHeight="1" x14ac:dyDescent="0.3">
      <c r="K408" s="24">
        <v>98.5</v>
      </c>
      <c r="L408" s="24">
        <v>149.5</v>
      </c>
      <c r="M408" s="4" t="s">
        <v>83</v>
      </c>
      <c r="N408" s="4">
        <v>92</v>
      </c>
      <c r="O408" s="4">
        <v>134.5</v>
      </c>
      <c r="Q408" s="1">
        <v>92</v>
      </c>
      <c r="R408" s="1">
        <v>98.5</v>
      </c>
      <c r="S408" s="1">
        <f t="shared" si="0"/>
        <v>1</v>
      </c>
      <c r="T408" s="1">
        <f t="shared" si="1"/>
        <v>0</v>
      </c>
      <c r="U408" s="1">
        <f t="shared" si="2"/>
        <v>0</v>
      </c>
      <c r="V408" s="1">
        <v>149.5</v>
      </c>
      <c r="W408" s="1">
        <v>134.5</v>
      </c>
      <c r="Y408" s="24">
        <v>8</v>
      </c>
      <c r="Z408" s="24">
        <v>97.90178985568744</v>
      </c>
      <c r="AA408" s="24">
        <v>2.09821014431256</v>
      </c>
      <c r="AB408" s="24"/>
      <c r="AC408" s="24"/>
      <c r="AD408" s="24"/>
      <c r="AE408" s="24"/>
      <c r="AL408" s="24">
        <v>3</v>
      </c>
      <c r="AM408" s="24">
        <v>135.52009905335791</v>
      </c>
      <c r="AN408" s="24">
        <v>-1.0200990533579102</v>
      </c>
    </row>
    <row r="409" spans="11:40" ht="28.2" customHeight="1" x14ac:dyDescent="0.3">
      <c r="K409" s="24">
        <v>104</v>
      </c>
      <c r="L409" s="24">
        <v>159</v>
      </c>
      <c r="M409" s="4" t="s">
        <v>83</v>
      </c>
      <c r="N409" s="4">
        <v>97.5</v>
      </c>
      <c r="O409" s="4">
        <v>137.5</v>
      </c>
      <c r="Q409" s="1">
        <v>97.5</v>
      </c>
      <c r="R409" s="1">
        <v>104</v>
      </c>
      <c r="S409" s="1">
        <f t="shared" si="0"/>
        <v>1</v>
      </c>
      <c r="T409" s="1">
        <f t="shared" si="1"/>
        <v>0</v>
      </c>
      <c r="U409" s="1">
        <f t="shared" si="2"/>
        <v>0</v>
      </c>
      <c r="V409" s="1">
        <v>159</v>
      </c>
      <c r="W409" s="1">
        <v>137.5</v>
      </c>
      <c r="Y409" s="24">
        <v>9</v>
      </c>
      <c r="Z409" s="24">
        <v>94.547754515593638</v>
      </c>
      <c r="AA409" s="24">
        <v>0.9522454844063617</v>
      </c>
      <c r="AB409" s="24"/>
      <c r="AC409" s="24"/>
      <c r="AD409" s="24"/>
      <c r="AE409" s="24"/>
      <c r="AL409" s="24">
        <v>4</v>
      </c>
      <c r="AM409" s="24">
        <v>135.94035642475498</v>
      </c>
      <c r="AN409" s="24">
        <v>-1.9403564247549809</v>
      </c>
    </row>
    <row r="410" spans="11:40" ht="28.2" customHeight="1" x14ac:dyDescent="0.3">
      <c r="K410" s="24">
        <v>98.5</v>
      </c>
      <c r="L410" s="24">
        <v>141</v>
      </c>
      <c r="M410" s="4" t="s">
        <v>86</v>
      </c>
      <c r="N410" s="4">
        <v>92</v>
      </c>
      <c r="O410" s="4">
        <v>124</v>
      </c>
      <c r="Q410" s="1">
        <v>92</v>
      </c>
      <c r="R410" s="1">
        <v>98.5</v>
      </c>
      <c r="S410" s="1">
        <f t="shared" si="0"/>
        <v>0</v>
      </c>
      <c r="T410" s="1">
        <f t="shared" si="1"/>
        <v>1</v>
      </c>
      <c r="U410" s="1">
        <f t="shared" si="2"/>
        <v>0</v>
      </c>
      <c r="V410" s="1">
        <v>141</v>
      </c>
      <c r="W410" s="1">
        <v>124</v>
      </c>
      <c r="Y410" s="24">
        <v>10</v>
      </c>
      <c r="Z410" s="24">
        <v>94.242842211948741</v>
      </c>
      <c r="AA410" s="24">
        <v>4.7571577880512592</v>
      </c>
      <c r="AB410" s="24"/>
      <c r="AC410" s="24"/>
      <c r="AD410" s="24"/>
      <c r="AE410" s="24"/>
      <c r="AL410" s="24">
        <v>5</v>
      </c>
      <c r="AM410" s="24">
        <v>140.80103053254098</v>
      </c>
      <c r="AN410" s="24">
        <v>-3.8010305325409774</v>
      </c>
    </row>
    <row r="411" spans="11:40" ht="28.2" customHeight="1" x14ac:dyDescent="0.3">
      <c r="K411" s="24">
        <v>98.5</v>
      </c>
      <c r="L411" s="24">
        <v>153</v>
      </c>
      <c r="M411" s="4" t="s">
        <v>85</v>
      </c>
      <c r="N411" s="4">
        <v>93.5</v>
      </c>
      <c r="O411" s="4">
        <v>126.5</v>
      </c>
      <c r="Q411" s="1">
        <v>93.5</v>
      </c>
      <c r="R411" s="1">
        <v>98.5</v>
      </c>
      <c r="S411" s="1">
        <f t="shared" ref="S411:S463" si="3">IF($M411="None", 1, 0)</f>
        <v>0</v>
      </c>
      <c r="T411" s="1">
        <f t="shared" ref="T411:T465" si="4">IF($M411="New Medicine", 1, 0)</f>
        <v>0</v>
      </c>
      <c r="U411" s="1">
        <f t="shared" ref="U411:U465" si="5">IF($M411="Old Medicine",1,0)</f>
        <v>1</v>
      </c>
      <c r="V411" s="1">
        <v>153</v>
      </c>
      <c r="W411" s="1">
        <v>126.5</v>
      </c>
      <c r="Y411" s="24">
        <v>11</v>
      </c>
      <c r="Z411" s="24">
        <v>100.36583080244912</v>
      </c>
      <c r="AA411" s="24">
        <v>0.1341691975508752</v>
      </c>
      <c r="AB411" s="24"/>
      <c r="AC411" s="24"/>
      <c r="AD411" s="24"/>
      <c r="AE411" s="24"/>
      <c r="AL411" s="24">
        <v>6</v>
      </c>
      <c r="AM411" s="24">
        <v>140.06501717181388</v>
      </c>
      <c r="AN411" s="24">
        <v>-6.5017171813877894E-2</v>
      </c>
    </row>
    <row r="412" spans="11:40" ht="28.2" customHeight="1" x14ac:dyDescent="0.3">
      <c r="K412" s="24">
        <v>100.5</v>
      </c>
      <c r="L412" s="24">
        <v>155</v>
      </c>
      <c r="M412" s="4" t="s">
        <v>87</v>
      </c>
      <c r="N412" s="4">
        <v>89.5</v>
      </c>
      <c r="O412" s="4">
        <v>130.5</v>
      </c>
      <c r="Q412" s="1">
        <v>89.5</v>
      </c>
      <c r="R412" s="1">
        <v>100.5</v>
      </c>
      <c r="S412" s="1">
        <f t="shared" si="3"/>
        <v>0</v>
      </c>
      <c r="T412" s="1">
        <f t="shared" si="4"/>
        <v>0</v>
      </c>
      <c r="U412" s="1">
        <f t="shared" si="5"/>
        <v>0</v>
      </c>
      <c r="V412" s="1">
        <v>155</v>
      </c>
      <c r="W412" s="1">
        <v>130.5</v>
      </c>
      <c r="Y412" s="24">
        <v>12</v>
      </c>
      <c r="Z412" s="24">
        <v>97.316707766000221</v>
      </c>
      <c r="AA412" s="24">
        <v>3.1832922339997793</v>
      </c>
      <c r="AB412" s="24"/>
      <c r="AC412" s="24"/>
      <c r="AD412" s="24"/>
      <c r="AE412" s="24"/>
      <c r="AL412" s="24">
        <v>7</v>
      </c>
      <c r="AM412" s="24">
        <v>131.17682212273687</v>
      </c>
      <c r="AN412" s="24">
        <v>-1.1768221227368656</v>
      </c>
    </row>
    <row r="413" spans="11:40" ht="28.2" customHeight="1" x14ac:dyDescent="0.3">
      <c r="K413" s="24">
        <v>100</v>
      </c>
      <c r="L413" s="24">
        <v>148.5</v>
      </c>
      <c r="M413" s="4" t="s">
        <v>83</v>
      </c>
      <c r="N413" s="4">
        <v>100.5</v>
      </c>
      <c r="O413" s="4">
        <v>139.5</v>
      </c>
      <c r="Q413" s="1">
        <v>100.5</v>
      </c>
      <c r="R413" s="1">
        <v>100</v>
      </c>
      <c r="S413" s="1">
        <f t="shared" si="3"/>
        <v>1</v>
      </c>
      <c r="T413" s="1">
        <f t="shared" si="4"/>
        <v>0</v>
      </c>
      <c r="U413" s="1">
        <f t="shared" si="5"/>
        <v>0</v>
      </c>
      <c r="V413" s="1">
        <v>148.5</v>
      </c>
      <c r="W413" s="1">
        <v>139.5</v>
      </c>
      <c r="Y413" s="24">
        <v>13</v>
      </c>
      <c r="Z413" s="24">
        <v>95.711193128145055</v>
      </c>
      <c r="AA413" s="24">
        <v>4.7888068718549448</v>
      </c>
      <c r="AB413" s="24"/>
      <c r="AC413" s="24"/>
      <c r="AD413" s="24"/>
      <c r="AE413" s="24"/>
      <c r="AL413" s="24">
        <v>8</v>
      </c>
      <c r="AM413" s="24">
        <v>143.08197708963257</v>
      </c>
      <c r="AN413" s="24">
        <v>2.4180229103674264</v>
      </c>
    </row>
    <row r="414" spans="11:40" ht="28.2" customHeight="1" x14ac:dyDescent="0.3">
      <c r="K414" s="24">
        <v>98</v>
      </c>
      <c r="L414" s="24">
        <v>146</v>
      </c>
      <c r="M414" s="4" t="s">
        <v>85</v>
      </c>
      <c r="N414" s="4">
        <v>89</v>
      </c>
      <c r="O414" s="4">
        <v>128.5</v>
      </c>
      <c r="Q414" s="1">
        <v>89</v>
      </c>
      <c r="R414" s="1">
        <v>98</v>
      </c>
      <c r="S414" s="1">
        <f t="shared" si="3"/>
        <v>0</v>
      </c>
      <c r="T414" s="1">
        <f t="shared" si="4"/>
        <v>0</v>
      </c>
      <c r="U414" s="1">
        <f t="shared" si="5"/>
        <v>1</v>
      </c>
      <c r="V414" s="1">
        <v>146</v>
      </c>
      <c r="W414" s="1">
        <v>128.5</v>
      </c>
      <c r="Y414" s="24">
        <v>14</v>
      </c>
      <c r="Z414" s="24">
        <v>96.016105431789953</v>
      </c>
      <c r="AA414" s="24">
        <v>3.4838945682100473</v>
      </c>
      <c r="AB414" s="24"/>
      <c r="AC414" s="24"/>
      <c r="AD414" s="24"/>
      <c r="AE414" s="24"/>
      <c r="AL414" s="24">
        <v>9</v>
      </c>
      <c r="AM414" s="24">
        <v>133.11404695090687</v>
      </c>
      <c r="AN414" s="24">
        <v>-7.114046950906868</v>
      </c>
    </row>
    <row r="415" spans="11:40" ht="28.2" customHeight="1" x14ac:dyDescent="0.3">
      <c r="K415" s="24">
        <v>96.5</v>
      </c>
      <c r="L415" s="24">
        <v>144</v>
      </c>
      <c r="M415" s="4" t="s">
        <v>87</v>
      </c>
      <c r="N415" s="4">
        <v>96</v>
      </c>
      <c r="O415" s="4">
        <v>132</v>
      </c>
      <c r="Q415" s="1">
        <v>96</v>
      </c>
      <c r="R415" s="1">
        <v>96.5</v>
      </c>
      <c r="S415" s="1">
        <f t="shared" si="3"/>
        <v>0</v>
      </c>
      <c r="T415" s="1">
        <f t="shared" si="4"/>
        <v>0</v>
      </c>
      <c r="U415" s="1">
        <f t="shared" si="5"/>
        <v>0</v>
      </c>
      <c r="V415" s="1">
        <v>144</v>
      </c>
      <c r="W415" s="1">
        <v>132</v>
      </c>
      <c r="Y415" s="24">
        <v>15</v>
      </c>
      <c r="Z415" s="24">
        <v>92.718280693724282</v>
      </c>
      <c r="AA415" s="24">
        <v>4.2817193062757184</v>
      </c>
      <c r="AB415" s="24"/>
      <c r="AC415" s="24"/>
      <c r="AD415" s="24"/>
      <c r="AE415" s="24"/>
      <c r="AL415" s="24">
        <v>10</v>
      </c>
      <c r="AM415" s="24">
        <v>133.11404695090687</v>
      </c>
      <c r="AN415" s="24">
        <v>13.385953049093132</v>
      </c>
    </row>
    <row r="416" spans="11:40" ht="28.2" customHeight="1" x14ac:dyDescent="0.3">
      <c r="K416" s="24">
        <v>99.5</v>
      </c>
      <c r="L416" s="24">
        <v>152</v>
      </c>
      <c r="M416" s="4" t="s">
        <v>83</v>
      </c>
      <c r="N416" s="4">
        <v>95</v>
      </c>
      <c r="O416" s="4">
        <v>133.5</v>
      </c>
      <c r="Q416" s="1">
        <v>95</v>
      </c>
      <c r="R416" s="1">
        <v>99.5</v>
      </c>
      <c r="S416" s="1">
        <f t="shared" si="3"/>
        <v>1</v>
      </c>
      <c r="T416" s="1">
        <f t="shared" si="4"/>
        <v>0</v>
      </c>
      <c r="U416" s="1">
        <f t="shared" si="5"/>
        <v>0</v>
      </c>
      <c r="V416" s="1">
        <v>152</v>
      </c>
      <c r="W416" s="1">
        <v>133.5</v>
      </c>
      <c r="Y416" s="24">
        <v>16</v>
      </c>
      <c r="Z416" s="24">
        <v>95.462491426528317</v>
      </c>
      <c r="AA416" s="24">
        <v>-2.4624914265283167</v>
      </c>
      <c r="AB416" s="24"/>
      <c r="AC416" s="24"/>
      <c r="AD416" s="24"/>
      <c r="AE416" s="24"/>
      <c r="AL416" s="24">
        <v>11</v>
      </c>
      <c r="AM416" s="24">
        <v>137.36381324332524</v>
      </c>
      <c r="AN416" s="24">
        <v>2.6361867566747605</v>
      </c>
    </row>
    <row r="417" spans="11:40" ht="28.2" customHeight="1" x14ac:dyDescent="0.3">
      <c r="K417" s="24">
        <v>99</v>
      </c>
      <c r="L417" s="24">
        <v>148.5</v>
      </c>
      <c r="M417" s="4" t="s">
        <v>83</v>
      </c>
      <c r="N417" s="4">
        <v>96</v>
      </c>
      <c r="O417" s="4">
        <v>139</v>
      </c>
      <c r="Q417" s="1">
        <v>96</v>
      </c>
      <c r="R417" s="1">
        <v>99</v>
      </c>
      <c r="S417" s="1">
        <f t="shared" si="3"/>
        <v>1</v>
      </c>
      <c r="T417" s="1">
        <f t="shared" si="4"/>
        <v>0</v>
      </c>
      <c r="U417" s="1">
        <f t="shared" si="5"/>
        <v>0</v>
      </c>
      <c r="V417" s="1">
        <v>148.5</v>
      </c>
      <c r="W417" s="1">
        <v>139</v>
      </c>
      <c r="Y417" s="24">
        <v>17</v>
      </c>
      <c r="Z417" s="24">
        <v>96.35815804960302</v>
      </c>
      <c r="AA417" s="24">
        <v>3.1418419503969801</v>
      </c>
      <c r="AB417" s="24"/>
      <c r="AC417" s="24"/>
      <c r="AD417" s="24"/>
      <c r="AE417" s="24"/>
      <c r="AL417" s="24">
        <v>12</v>
      </c>
      <c r="AM417" s="24">
        <v>142.86336090607045</v>
      </c>
      <c r="AN417" s="24">
        <v>-2.3633609060704543</v>
      </c>
    </row>
    <row r="418" spans="11:40" ht="28.2" customHeight="1" x14ac:dyDescent="0.3">
      <c r="K418" s="24">
        <v>104</v>
      </c>
      <c r="L418" s="24">
        <v>148</v>
      </c>
      <c r="M418" s="4" t="s">
        <v>87</v>
      </c>
      <c r="N418" s="4">
        <v>92</v>
      </c>
      <c r="O418" s="4">
        <v>123</v>
      </c>
      <c r="Q418" s="1">
        <v>92</v>
      </c>
      <c r="R418" s="1">
        <v>104</v>
      </c>
      <c r="S418" s="1">
        <f t="shared" si="3"/>
        <v>0</v>
      </c>
      <c r="T418" s="1">
        <f t="shared" si="4"/>
        <v>0</v>
      </c>
      <c r="U418" s="1">
        <f t="shared" si="5"/>
        <v>0</v>
      </c>
      <c r="V418" s="1">
        <v>148</v>
      </c>
      <c r="W418" s="1">
        <v>123</v>
      </c>
      <c r="Y418" s="24">
        <v>18</v>
      </c>
      <c r="Z418" s="24">
        <v>98.536356980579782</v>
      </c>
      <c r="AA418" s="24">
        <v>1.9636430194202177</v>
      </c>
      <c r="AB418" s="24"/>
      <c r="AC418" s="24"/>
      <c r="AD418" s="24"/>
      <c r="AE418" s="24"/>
      <c r="AL418" s="24">
        <v>13</v>
      </c>
      <c r="AM418" s="24">
        <v>136.49810248772067</v>
      </c>
      <c r="AN418" s="24">
        <v>1.5018975122793279</v>
      </c>
    </row>
    <row r="419" spans="11:40" ht="28.2" customHeight="1" x14ac:dyDescent="0.3">
      <c r="K419" s="24">
        <v>101</v>
      </c>
      <c r="L419" s="24">
        <v>155</v>
      </c>
      <c r="M419" s="4" t="s">
        <v>86</v>
      </c>
      <c r="N419" s="4">
        <v>93</v>
      </c>
      <c r="O419" s="4">
        <v>132</v>
      </c>
      <c r="Q419" s="1">
        <v>93</v>
      </c>
      <c r="R419" s="1">
        <v>101</v>
      </c>
      <c r="S419" s="1">
        <f t="shared" si="3"/>
        <v>0</v>
      </c>
      <c r="T419" s="1">
        <f t="shared" si="4"/>
        <v>1</v>
      </c>
      <c r="U419" s="1">
        <f t="shared" si="5"/>
        <v>0</v>
      </c>
      <c r="V419" s="1">
        <v>155</v>
      </c>
      <c r="W419" s="1">
        <v>132</v>
      </c>
      <c r="Y419" s="24">
        <v>19</v>
      </c>
      <c r="Z419" s="24">
        <v>96.663070353247903</v>
      </c>
      <c r="AA419" s="24">
        <v>-1.1630703532479032</v>
      </c>
      <c r="AB419" s="24"/>
      <c r="AC419" s="24"/>
      <c r="AD419" s="24"/>
      <c r="AE419" s="24"/>
      <c r="AL419" s="24">
        <v>14</v>
      </c>
      <c r="AM419" s="24">
        <v>137.5292676744854</v>
      </c>
      <c r="AN419" s="24">
        <v>-4.0292676744853964</v>
      </c>
    </row>
    <row r="420" spans="11:40" ht="28.2" customHeight="1" x14ac:dyDescent="0.3">
      <c r="K420" s="24">
        <v>100.5</v>
      </c>
      <c r="L420" s="24">
        <v>145</v>
      </c>
      <c r="M420" s="4" t="s">
        <v>87</v>
      </c>
      <c r="N420" s="4">
        <v>89</v>
      </c>
      <c r="O420" s="4">
        <v>129.5</v>
      </c>
      <c r="Q420" s="1">
        <v>89</v>
      </c>
      <c r="R420" s="1">
        <v>100.5</v>
      </c>
      <c r="S420" s="1">
        <f t="shared" si="3"/>
        <v>0</v>
      </c>
      <c r="T420" s="1">
        <f t="shared" si="4"/>
        <v>0</v>
      </c>
      <c r="U420" s="1">
        <f t="shared" si="5"/>
        <v>0</v>
      </c>
      <c r="V420" s="1">
        <v>145</v>
      </c>
      <c r="W420" s="1">
        <v>129.5</v>
      </c>
      <c r="Y420" s="24">
        <v>20</v>
      </c>
      <c r="Z420" s="24">
        <v>96.016105431789953</v>
      </c>
      <c r="AA420" s="24">
        <v>2.4838945682100473</v>
      </c>
      <c r="AB420" s="24"/>
      <c r="AC420" s="24"/>
      <c r="AD420" s="24"/>
      <c r="AE420" s="24"/>
      <c r="AL420" s="24">
        <v>15</v>
      </c>
      <c r="AM420" s="24">
        <v>134.48893386659316</v>
      </c>
      <c r="AN420" s="24">
        <v>2.5110661334068425</v>
      </c>
    </row>
    <row r="421" spans="11:40" ht="28.2" customHeight="1" x14ac:dyDescent="0.3">
      <c r="K421" s="24">
        <v>100</v>
      </c>
      <c r="L421" s="24">
        <v>150</v>
      </c>
      <c r="M421" s="4" t="s">
        <v>83</v>
      </c>
      <c r="N421" s="4">
        <v>95</v>
      </c>
      <c r="O421" s="4">
        <v>134.5</v>
      </c>
      <c r="Q421" s="1">
        <v>95</v>
      </c>
      <c r="R421" s="1">
        <v>100</v>
      </c>
      <c r="S421" s="1">
        <f t="shared" si="3"/>
        <v>1</v>
      </c>
      <c r="T421" s="1">
        <f t="shared" si="4"/>
        <v>0</v>
      </c>
      <c r="U421" s="1">
        <f t="shared" si="5"/>
        <v>0</v>
      </c>
      <c r="V421" s="1">
        <v>150</v>
      </c>
      <c r="W421" s="1">
        <v>134.5</v>
      </c>
      <c r="Y421" s="24">
        <v>21</v>
      </c>
      <c r="Z421" s="24">
        <v>96.70688315871044</v>
      </c>
      <c r="AA421" s="24">
        <v>2.2931168412895602</v>
      </c>
      <c r="AB421" s="24"/>
      <c r="AC421" s="24"/>
      <c r="AD421" s="24"/>
      <c r="AE421" s="24"/>
      <c r="AL421" s="24">
        <v>16</v>
      </c>
      <c r="AM421" s="24">
        <v>132.08288176414214</v>
      </c>
      <c r="AN421" s="24">
        <v>1.4171182358578562</v>
      </c>
    </row>
    <row r="422" spans="11:40" ht="28.2" customHeight="1" x14ac:dyDescent="0.3">
      <c r="K422" s="24">
        <v>99</v>
      </c>
      <c r="L422" s="24">
        <v>145</v>
      </c>
      <c r="M422" s="4" t="s">
        <v>86</v>
      </c>
      <c r="N422" s="4">
        <v>93</v>
      </c>
      <c r="O422" s="4">
        <v>131</v>
      </c>
      <c r="Q422" s="1">
        <v>93</v>
      </c>
      <c r="R422" s="1">
        <v>99</v>
      </c>
      <c r="S422" s="1">
        <f t="shared" si="3"/>
        <v>0</v>
      </c>
      <c r="T422" s="1">
        <f t="shared" si="4"/>
        <v>1</v>
      </c>
      <c r="U422" s="1">
        <f t="shared" si="5"/>
        <v>0</v>
      </c>
      <c r="V422" s="1">
        <v>145</v>
      </c>
      <c r="W422" s="1">
        <v>131</v>
      </c>
      <c r="Y422" s="24">
        <v>22</v>
      </c>
      <c r="Z422" s="24">
        <v>94.528684227733677</v>
      </c>
      <c r="AA422" s="24">
        <v>0.9713157722663226</v>
      </c>
      <c r="AB422" s="24"/>
      <c r="AC422" s="24"/>
      <c r="AD422" s="24"/>
      <c r="AE422" s="24"/>
      <c r="AL422" s="24">
        <v>17</v>
      </c>
      <c r="AM422" s="24">
        <v>141.78362581642176</v>
      </c>
      <c r="AN422" s="24">
        <v>0.2163741835782389</v>
      </c>
    </row>
    <row r="423" spans="11:40" ht="28.2" customHeight="1" x14ac:dyDescent="0.3">
      <c r="K423" s="24">
        <v>104</v>
      </c>
      <c r="L423" s="24">
        <v>150.5</v>
      </c>
      <c r="M423" s="4" t="s">
        <v>83</v>
      </c>
      <c r="N423" s="4">
        <v>95</v>
      </c>
      <c r="O423" s="4">
        <v>139.5</v>
      </c>
      <c r="Q423" s="1">
        <v>95</v>
      </c>
      <c r="R423" s="1">
        <v>104</v>
      </c>
      <c r="S423" s="1">
        <f t="shared" si="3"/>
        <v>1</v>
      </c>
      <c r="T423" s="1">
        <f t="shared" si="4"/>
        <v>0</v>
      </c>
      <c r="U423" s="1">
        <f t="shared" si="5"/>
        <v>0</v>
      </c>
      <c r="V423" s="1">
        <v>150.5</v>
      </c>
      <c r="W423" s="1">
        <v>139.5</v>
      </c>
      <c r="Y423" s="24">
        <v>23</v>
      </c>
      <c r="Z423" s="24">
        <v>92.05224548440637</v>
      </c>
      <c r="AA423" s="24">
        <v>-0.55224548440637022</v>
      </c>
      <c r="AB423" s="24"/>
      <c r="AC423" s="24"/>
      <c r="AD423" s="24"/>
      <c r="AE423" s="24"/>
      <c r="AL423" s="24">
        <v>18</v>
      </c>
      <c r="AM423" s="24">
        <v>139.42614361685469</v>
      </c>
      <c r="AN423" s="24">
        <v>-0.92614361685468793</v>
      </c>
    </row>
    <row r="424" spans="11:40" ht="28.2" customHeight="1" x14ac:dyDescent="0.3">
      <c r="K424" s="24">
        <v>103</v>
      </c>
      <c r="L424" s="24">
        <v>159</v>
      </c>
      <c r="M424" s="4" t="s">
        <v>85</v>
      </c>
      <c r="N424" s="4">
        <v>93.5</v>
      </c>
      <c r="O424" s="4">
        <v>134.5</v>
      </c>
      <c r="Q424" s="1">
        <v>93.5</v>
      </c>
      <c r="R424" s="1">
        <v>103</v>
      </c>
      <c r="S424" s="1">
        <f t="shared" si="3"/>
        <v>0</v>
      </c>
      <c r="T424" s="1">
        <f t="shared" si="4"/>
        <v>0</v>
      </c>
      <c r="U424" s="1">
        <f t="shared" si="5"/>
        <v>1</v>
      </c>
      <c r="V424" s="1">
        <v>159</v>
      </c>
      <c r="W424" s="1">
        <v>134.5</v>
      </c>
      <c r="Y424" s="24">
        <v>24</v>
      </c>
      <c r="Z424" s="24">
        <v>98.797456478762143</v>
      </c>
      <c r="AA424" s="24">
        <v>3.2025435212378568</v>
      </c>
      <c r="AB424" s="24"/>
      <c r="AC424" s="24"/>
      <c r="AD424" s="24"/>
      <c r="AE424" s="24"/>
      <c r="AL424" s="24">
        <v>19</v>
      </c>
      <c r="AM424" s="24">
        <v>136.62779988259814</v>
      </c>
      <c r="AN424" s="24">
        <v>3.8722001174018601</v>
      </c>
    </row>
    <row r="425" spans="11:40" ht="28.2" customHeight="1" x14ac:dyDescent="0.3">
      <c r="K425" s="24">
        <v>102.5</v>
      </c>
      <c r="L425" s="24">
        <v>149</v>
      </c>
      <c r="M425" s="4" t="s">
        <v>87</v>
      </c>
      <c r="N425" s="4">
        <v>94</v>
      </c>
      <c r="O425" s="4">
        <v>131.5</v>
      </c>
      <c r="Q425" s="1">
        <v>94</v>
      </c>
      <c r="R425" s="1">
        <v>102.5</v>
      </c>
      <c r="S425" s="1">
        <f t="shared" si="3"/>
        <v>0</v>
      </c>
      <c r="T425" s="1">
        <f t="shared" si="4"/>
        <v>0</v>
      </c>
      <c r="U425" s="1">
        <f t="shared" si="5"/>
        <v>0</v>
      </c>
      <c r="V425" s="1">
        <v>149</v>
      </c>
      <c r="W425" s="1">
        <v>131.5</v>
      </c>
      <c r="Y425" s="24">
        <v>25</v>
      </c>
      <c r="Z425" s="24">
        <v>96.321017735434836</v>
      </c>
      <c r="AA425" s="24">
        <v>2.678982264565164</v>
      </c>
      <c r="AB425" s="24"/>
      <c r="AC425" s="24"/>
      <c r="AD425" s="24"/>
      <c r="AE425" s="24"/>
      <c r="AL425" s="24">
        <v>20</v>
      </c>
      <c r="AM425" s="24">
        <v>135.81065902987751</v>
      </c>
      <c r="AN425" s="24">
        <v>-4.8106590298775131</v>
      </c>
    </row>
    <row r="426" spans="11:40" ht="28.2" customHeight="1" x14ac:dyDescent="0.3">
      <c r="K426" s="24">
        <v>95.5</v>
      </c>
      <c r="L426" s="24">
        <v>145.5</v>
      </c>
      <c r="M426" s="4" t="s">
        <v>83</v>
      </c>
      <c r="N426" s="4">
        <v>93</v>
      </c>
      <c r="O426" s="4">
        <v>138.5</v>
      </c>
      <c r="Q426" s="1">
        <v>93</v>
      </c>
      <c r="R426" s="1">
        <v>95.5</v>
      </c>
      <c r="S426" s="1">
        <f t="shared" si="3"/>
        <v>1</v>
      </c>
      <c r="T426" s="1">
        <f t="shared" si="4"/>
        <v>0</v>
      </c>
      <c r="U426" s="1">
        <f t="shared" si="5"/>
        <v>0</v>
      </c>
      <c r="V426" s="1">
        <v>145.5</v>
      </c>
      <c r="W426" s="1">
        <v>138.5</v>
      </c>
      <c r="Y426" s="24">
        <v>26</v>
      </c>
      <c r="Z426" s="24">
        <v>99.451093891514461</v>
      </c>
      <c r="AA426" s="24">
        <v>1.0489061084855393</v>
      </c>
      <c r="AB426" s="24"/>
      <c r="AC426" s="24"/>
      <c r="AD426" s="24"/>
      <c r="AE426" s="24"/>
      <c r="AL426" s="24">
        <v>21</v>
      </c>
      <c r="AM426" s="24">
        <v>138.05125670116837</v>
      </c>
      <c r="AN426" s="24">
        <v>-3.05125670116837</v>
      </c>
    </row>
    <row r="427" spans="11:40" ht="28.2" customHeight="1" x14ac:dyDescent="0.3">
      <c r="K427" s="24">
        <v>97.5</v>
      </c>
      <c r="L427" s="24">
        <v>151</v>
      </c>
      <c r="M427" s="4" t="s">
        <v>87</v>
      </c>
      <c r="N427" s="4">
        <v>92</v>
      </c>
      <c r="O427" s="4">
        <v>133</v>
      </c>
      <c r="Q427" s="1">
        <v>92</v>
      </c>
      <c r="R427" s="1">
        <v>97.5</v>
      </c>
      <c r="S427" s="1">
        <f t="shared" si="3"/>
        <v>0</v>
      </c>
      <c r="T427" s="1">
        <f t="shared" si="4"/>
        <v>0</v>
      </c>
      <c r="U427" s="1">
        <f t="shared" si="5"/>
        <v>0</v>
      </c>
      <c r="V427" s="1">
        <v>151</v>
      </c>
      <c r="W427" s="1">
        <v>133</v>
      </c>
      <c r="Y427" s="24">
        <v>27</v>
      </c>
      <c r="Z427" s="24">
        <v>94.528684227733677</v>
      </c>
      <c r="AA427" s="24">
        <v>1.9713157722663226</v>
      </c>
      <c r="AB427" s="24"/>
      <c r="AC427" s="24"/>
      <c r="AD427" s="24"/>
      <c r="AE427" s="24"/>
      <c r="AL427" s="24">
        <v>22</v>
      </c>
      <c r="AM427" s="24">
        <v>136.28407815367655</v>
      </c>
      <c r="AN427" s="24">
        <v>-2.7840781536765462</v>
      </c>
    </row>
    <row r="428" spans="11:40" ht="28.2" customHeight="1" x14ac:dyDescent="0.3">
      <c r="K428" s="24">
        <v>97.5</v>
      </c>
      <c r="L428" s="24">
        <v>149.5</v>
      </c>
      <c r="M428" s="4" t="s">
        <v>83</v>
      </c>
      <c r="N428" s="4">
        <v>99.5</v>
      </c>
      <c r="O428" s="4">
        <v>131</v>
      </c>
      <c r="Q428" s="1">
        <v>99.5</v>
      </c>
      <c r="R428" s="1">
        <v>97.5</v>
      </c>
      <c r="S428" s="1">
        <f t="shared" si="3"/>
        <v>1</v>
      </c>
      <c r="T428" s="1">
        <f t="shared" si="4"/>
        <v>0</v>
      </c>
      <c r="U428" s="1">
        <f t="shared" si="5"/>
        <v>0</v>
      </c>
      <c r="V428" s="1">
        <v>149.5</v>
      </c>
      <c r="W428" s="1">
        <v>131</v>
      </c>
      <c r="Y428" s="24">
        <v>28</v>
      </c>
      <c r="Z428" s="24">
        <v>96.35815804960302</v>
      </c>
      <c r="AA428" s="24">
        <v>-2.3581580496030199</v>
      </c>
      <c r="AB428" s="24"/>
      <c r="AC428" s="24"/>
      <c r="AD428" s="24"/>
      <c r="AE428" s="24"/>
      <c r="AL428" s="24">
        <v>23</v>
      </c>
      <c r="AM428" s="24">
        <v>133.40460692742647</v>
      </c>
      <c r="AN428" s="24">
        <v>-1.904606927426471</v>
      </c>
    </row>
    <row r="429" spans="11:40" ht="28.2" customHeight="1" x14ac:dyDescent="0.3">
      <c r="K429" s="24">
        <v>96</v>
      </c>
      <c r="L429" s="24">
        <v>150</v>
      </c>
      <c r="M429" s="4" t="s">
        <v>87</v>
      </c>
      <c r="N429" s="4">
        <v>93.5</v>
      </c>
      <c r="O429" s="4">
        <v>134.5</v>
      </c>
      <c r="Q429" s="1">
        <v>93.5</v>
      </c>
      <c r="R429" s="1">
        <v>96</v>
      </c>
      <c r="S429" s="1">
        <f t="shared" si="3"/>
        <v>0</v>
      </c>
      <c r="T429" s="1">
        <f t="shared" si="4"/>
        <v>0</v>
      </c>
      <c r="U429" s="1">
        <f t="shared" si="5"/>
        <v>0</v>
      </c>
      <c r="V429" s="1">
        <v>150</v>
      </c>
      <c r="W429" s="1">
        <v>134.5</v>
      </c>
      <c r="Y429" s="24">
        <v>29</v>
      </c>
      <c r="Z429" s="24">
        <v>90.259911976705197</v>
      </c>
      <c r="AA429" s="24">
        <v>-3.7599119767051974</v>
      </c>
      <c r="AB429" s="24"/>
      <c r="AC429" s="24"/>
      <c r="AD429" s="24"/>
      <c r="AE429" s="24"/>
      <c r="AL429" s="24">
        <v>24</v>
      </c>
      <c r="AM429" s="24">
        <v>140.40873890073547</v>
      </c>
      <c r="AN429" s="24">
        <v>2.5912610992645284</v>
      </c>
    </row>
    <row r="430" spans="11:40" ht="28.2" customHeight="1" x14ac:dyDescent="0.3">
      <c r="K430" s="24">
        <v>104.5</v>
      </c>
      <c r="L430" s="24">
        <v>153.5</v>
      </c>
      <c r="M430" s="4" t="s">
        <v>83</v>
      </c>
      <c r="N430" s="4">
        <v>101</v>
      </c>
      <c r="O430" s="4">
        <v>132</v>
      </c>
      <c r="Q430" s="1">
        <v>101</v>
      </c>
      <c r="R430" s="1">
        <v>104.5</v>
      </c>
      <c r="S430" s="1">
        <f t="shared" si="3"/>
        <v>1</v>
      </c>
      <c r="T430" s="1">
        <f t="shared" si="4"/>
        <v>0</v>
      </c>
      <c r="U430" s="1">
        <f t="shared" si="5"/>
        <v>0</v>
      </c>
      <c r="V430" s="1">
        <v>153.5</v>
      </c>
      <c r="W430" s="1">
        <v>132</v>
      </c>
      <c r="Y430" s="24">
        <v>30</v>
      </c>
      <c r="Z430" s="24">
        <v>97.011795462355337</v>
      </c>
      <c r="AA430" s="24">
        <v>-1.0117954623553373</v>
      </c>
      <c r="AB430" s="24"/>
      <c r="AC430" s="24"/>
      <c r="AD430" s="24"/>
      <c r="AE430" s="24"/>
      <c r="AL430" s="24">
        <v>25</v>
      </c>
      <c r="AM430" s="24">
        <v>132.02972001174018</v>
      </c>
      <c r="AN430" s="24">
        <v>9.4702799882598185</v>
      </c>
    </row>
    <row r="431" spans="11:40" ht="28.2" customHeight="1" x14ac:dyDescent="0.3">
      <c r="K431" s="24">
        <v>95.5</v>
      </c>
      <c r="L431" s="24">
        <v>147.5</v>
      </c>
      <c r="M431" s="4" t="s">
        <v>83</v>
      </c>
      <c r="N431" s="4">
        <v>97.5</v>
      </c>
      <c r="O431" s="4">
        <v>127</v>
      </c>
      <c r="Q431" s="1">
        <v>97.5</v>
      </c>
      <c r="R431" s="1">
        <v>95.5</v>
      </c>
      <c r="S431" s="1">
        <f t="shared" si="3"/>
        <v>1</v>
      </c>
      <c r="T431" s="1">
        <f t="shared" si="4"/>
        <v>0</v>
      </c>
      <c r="U431" s="1">
        <f t="shared" si="5"/>
        <v>0</v>
      </c>
      <c r="V431" s="1">
        <v>147.5</v>
      </c>
      <c r="W431" s="1">
        <v>127</v>
      </c>
      <c r="Y431" s="24">
        <v>31</v>
      </c>
      <c r="Z431" s="24">
        <v>97.011795462355337</v>
      </c>
      <c r="AA431" s="24">
        <v>-6.0117954623553373</v>
      </c>
      <c r="AB431" s="24"/>
      <c r="AC431" s="24"/>
      <c r="AD431" s="24"/>
      <c r="AE431" s="24"/>
      <c r="AL431" s="24">
        <v>26</v>
      </c>
      <c r="AM431" s="24">
        <v>138.39497843008996</v>
      </c>
      <c r="AN431" s="24">
        <v>0.10502156991003631</v>
      </c>
    </row>
    <row r="432" spans="11:40" ht="28.2" customHeight="1" x14ac:dyDescent="0.3">
      <c r="K432" s="24">
        <v>92.5</v>
      </c>
      <c r="L432" s="24">
        <v>147.5</v>
      </c>
      <c r="M432" s="4" t="s">
        <v>83</v>
      </c>
      <c r="N432" s="4">
        <v>93.5</v>
      </c>
      <c r="O432" s="4">
        <v>133.5</v>
      </c>
      <c r="Q432" s="1">
        <v>93.5</v>
      </c>
      <c r="R432" s="1">
        <v>92.5</v>
      </c>
      <c r="S432" s="1">
        <f t="shared" si="3"/>
        <v>1</v>
      </c>
      <c r="T432" s="1">
        <f t="shared" si="4"/>
        <v>0</v>
      </c>
      <c r="U432" s="1">
        <f t="shared" si="5"/>
        <v>0</v>
      </c>
      <c r="V432" s="1">
        <v>147.5</v>
      </c>
      <c r="W432" s="1">
        <v>133.5</v>
      </c>
      <c r="Y432" s="24">
        <v>32</v>
      </c>
      <c r="Z432" s="24">
        <v>96.930842342724617</v>
      </c>
      <c r="AA432" s="24">
        <v>-3.4308423427246169</v>
      </c>
      <c r="AB432" s="24"/>
      <c r="AC432" s="24"/>
      <c r="AD432" s="24"/>
      <c r="AE432" s="24"/>
      <c r="AL432" s="24">
        <v>27</v>
      </c>
      <c r="AM432" s="24">
        <v>135.25291296691182</v>
      </c>
      <c r="AN432" s="24">
        <v>-0.75291296691182197</v>
      </c>
    </row>
    <row r="433" spans="11:40" ht="28.2" customHeight="1" x14ac:dyDescent="0.3">
      <c r="K433" s="24">
        <v>102.5</v>
      </c>
      <c r="L433" s="24">
        <v>150</v>
      </c>
      <c r="M433" s="4" t="s">
        <v>83</v>
      </c>
      <c r="N433" s="4">
        <v>93.5</v>
      </c>
      <c r="O433" s="4">
        <v>139.5</v>
      </c>
      <c r="Q433" s="1">
        <v>93.5</v>
      </c>
      <c r="R433" s="1">
        <v>102.5</v>
      </c>
      <c r="S433" s="1">
        <f t="shared" si="3"/>
        <v>1</v>
      </c>
      <c r="T433" s="1">
        <f t="shared" si="4"/>
        <v>0</v>
      </c>
      <c r="U433" s="1">
        <f t="shared" si="5"/>
        <v>0</v>
      </c>
      <c r="V433" s="1">
        <v>150</v>
      </c>
      <c r="W433" s="1">
        <v>139.5</v>
      </c>
      <c r="Y433" s="24">
        <v>33</v>
      </c>
      <c r="Z433" s="24">
        <v>91.747333180761473</v>
      </c>
      <c r="AA433" s="24">
        <v>-3.2473331807614727</v>
      </c>
      <c r="AB433" s="24"/>
      <c r="AC433" s="24"/>
      <c r="AD433" s="24"/>
      <c r="AE433" s="24"/>
      <c r="AL433" s="24">
        <v>28</v>
      </c>
      <c r="AM433" s="24">
        <v>136.62779988259814</v>
      </c>
      <c r="AN433" s="24">
        <v>-0.6277998825981399</v>
      </c>
    </row>
    <row r="434" spans="11:40" ht="28.2" customHeight="1" x14ac:dyDescent="0.3">
      <c r="K434" s="24">
        <v>102</v>
      </c>
      <c r="L434" s="24">
        <v>152</v>
      </c>
      <c r="M434" s="4" t="s">
        <v>87</v>
      </c>
      <c r="N434" s="4">
        <v>93.5</v>
      </c>
      <c r="O434" s="4">
        <v>132</v>
      </c>
      <c r="Q434" s="1">
        <v>93.5</v>
      </c>
      <c r="R434" s="1">
        <v>102</v>
      </c>
      <c r="S434" s="1">
        <f t="shared" si="3"/>
        <v>0</v>
      </c>
      <c r="T434" s="1">
        <f t="shared" si="4"/>
        <v>0</v>
      </c>
      <c r="U434" s="1">
        <f t="shared" si="5"/>
        <v>0</v>
      </c>
      <c r="V434" s="1">
        <v>152</v>
      </c>
      <c r="W434" s="1">
        <v>132</v>
      </c>
      <c r="Y434" s="24">
        <v>34</v>
      </c>
      <c r="Z434" s="24">
        <v>93.328105301014077</v>
      </c>
      <c r="AA434" s="24">
        <v>-1.8281053010140766</v>
      </c>
      <c r="AB434" s="24"/>
      <c r="AC434" s="24"/>
      <c r="AD434" s="24"/>
      <c r="AE434" s="24"/>
      <c r="AL434" s="24">
        <v>29</v>
      </c>
      <c r="AM434" s="24">
        <v>128.72220011740188</v>
      </c>
      <c r="AN434" s="24">
        <v>-4.2222001174018828</v>
      </c>
    </row>
    <row r="435" spans="11:40" ht="28.2" customHeight="1" x14ac:dyDescent="0.3">
      <c r="K435" s="24">
        <v>91</v>
      </c>
      <c r="L435" s="24">
        <v>143</v>
      </c>
      <c r="M435" s="4" t="s">
        <v>83</v>
      </c>
      <c r="N435" s="4">
        <v>90.5</v>
      </c>
      <c r="O435" s="4">
        <v>128.5</v>
      </c>
      <c r="Q435" s="1">
        <v>90.5</v>
      </c>
      <c r="R435" s="1">
        <v>91</v>
      </c>
      <c r="S435" s="1">
        <f t="shared" si="3"/>
        <v>1</v>
      </c>
      <c r="T435" s="1">
        <f t="shared" si="4"/>
        <v>0</v>
      </c>
      <c r="U435" s="1">
        <f t="shared" si="5"/>
        <v>0</v>
      </c>
      <c r="V435" s="1">
        <v>143</v>
      </c>
      <c r="W435" s="1">
        <v>128.5</v>
      </c>
      <c r="Y435" s="24">
        <v>35</v>
      </c>
      <c r="Z435" s="24">
        <v>95.101368520855274</v>
      </c>
      <c r="AA435" s="24">
        <v>-0.60136852085527437</v>
      </c>
      <c r="AB435" s="24"/>
      <c r="AC435" s="24"/>
      <c r="AD435" s="24"/>
      <c r="AE435" s="24"/>
      <c r="AL435" s="24">
        <v>30</v>
      </c>
      <c r="AM435" s="24">
        <v>139.08242188793312</v>
      </c>
      <c r="AN435" s="24">
        <v>-1.5824218879331227</v>
      </c>
    </row>
    <row r="436" spans="11:40" ht="28.2" customHeight="1" x14ac:dyDescent="0.3">
      <c r="K436" s="24">
        <v>95.5</v>
      </c>
      <c r="L436" s="24">
        <v>145.5</v>
      </c>
      <c r="M436" s="4" t="s">
        <v>86</v>
      </c>
      <c r="N436" s="4">
        <v>92</v>
      </c>
      <c r="O436" s="4">
        <v>131</v>
      </c>
      <c r="Q436" s="1">
        <v>92</v>
      </c>
      <c r="R436" s="1">
        <v>95.5</v>
      </c>
      <c r="S436" s="1">
        <f t="shared" si="3"/>
        <v>0</v>
      </c>
      <c r="T436" s="1">
        <f t="shared" si="4"/>
        <v>1</v>
      </c>
      <c r="U436" s="1">
        <f t="shared" si="5"/>
        <v>0</v>
      </c>
      <c r="V436" s="1">
        <v>145.5</v>
      </c>
      <c r="W436" s="1">
        <v>131</v>
      </c>
      <c r="Y436" s="24">
        <v>36</v>
      </c>
      <c r="Z436" s="24">
        <v>94.852666819238536</v>
      </c>
      <c r="AA436" s="24">
        <v>1.1473331807614642</v>
      </c>
      <c r="AB436" s="24"/>
      <c r="AC436" s="24"/>
      <c r="AD436" s="24"/>
      <c r="AE436" s="24"/>
      <c r="AL436" s="24">
        <v>31</v>
      </c>
      <c r="AM436" s="24">
        <v>132.55170903842316</v>
      </c>
      <c r="AN436" s="24">
        <v>0.44829096157684489</v>
      </c>
    </row>
    <row r="437" spans="11:40" ht="28.2" customHeight="1" x14ac:dyDescent="0.3">
      <c r="K437" s="24">
        <v>98.5</v>
      </c>
      <c r="L437" s="24">
        <v>148.5</v>
      </c>
      <c r="M437" s="4" t="s">
        <v>83</v>
      </c>
      <c r="N437" s="4">
        <v>89.5</v>
      </c>
      <c r="O437" s="4">
        <v>130</v>
      </c>
      <c r="Q437" s="1">
        <v>89.5</v>
      </c>
      <c r="R437" s="1">
        <v>98.5</v>
      </c>
      <c r="S437" s="1">
        <f t="shared" si="3"/>
        <v>1</v>
      </c>
      <c r="T437" s="1">
        <f t="shared" si="4"/>
        <v>0</v>
      </c>
      <c r="U437" s="1">
        <f t="shared" si="5"/>
        <v>0</v>
      </c>
      <c r="V437" s="1">
        <v>148.5</v>
      </c>
      <c r="W437" s="1">
        <v>130</v>
      </c>
      <c r="Y437" s="24">
        <v>37</v>
      </c>
      <c r="Z437" s="24">
        <v>102.80512923160826</v>
      </c>
      <c r="AA437" s="24">
        <v>-5.8051292316082623</v>
      </c>
      <c r="AB437" s="24"/>
      <c r="AC437" s="24"/>
      <c r="AD437" s="24"/>
      <c r="AE437" s="24"/>
      <c r="AL437" s="24">
        <v>32</v>
      </c>
      <c r="AM437" s="24">
        <v>129.9673896382107</v>
      </c>
      <c r="AN437" s="24">
        <v>5.0326103617892954</v>
      </c>
    </row>
    <row r="438" spans="11:40" ht="28.2" customHeight="1" x14ac:dyDescent="0.3">
      <c r="K438" s="24">
        <v>100</v>
      </c>
      <c r="L438" s="24">
        <v>151.5</v>
      </c>
      <c r="M438" s="4" t="s">
        <v>85</v>
      </c>
      <c r="N438" s="4">
        <v>87.5</v>
      </c>
      <c r="O438" s="4">
        <v>120</v>
      </c>
      <c r="Q438" s="1">
        <v>87.5</v>
      </c>
      <c r="R438" s="1">
        <v>100</v>
      </c>
      <c r="S438" s="1">
        <f t="shared" si="3"/>
        <v>0</v>
      </c>
      <c r="T438" s="1">
        <f t="shared" si="4"/>
        <v>0</v>
      </c>
      <c r="U438" s="1">
        <f t="shared" si="5"/>
        <v>1</v>
      </c>
      <c r="V438" s="1">
        <v>151.5</v>
      </c>
      <c r="W438" s="1">
        <v>120</v>
      </c>
      <c r="Y438" s="24">
        <v>38</v>
      </c>
      <c r="Z438" s="24">
        <v>97.926532373290001</v>
      </c>
      <c r="AA438" s="24">
        <v>3.5734676267099985</v>
      </c>
      <c r="AB438" s="24"/>
      <c r="AC438" s="24"/>
      <c r="AD438" s="24"/>
      <c r="AE438" s="24"/>
      <c r="AL438" s="24">
        <v>33</v>
      </c>
      <c r="AM438" s="24">
        <v>132.37344174066175</v>
      </c>
      <c r="AN438" s="24">
        <v>-0.37344174066174673</v>
      </c>
    </row>
    <row r="439" spans="11:40" ht="28.2" customHeight="1" x14ac:dyDescent="0.3">
      <c r="K439" s="24">
        <v>91.5</v>
      </c>
      <c r="L439" s="24">
        <v>142</v>
      </c>
      <c r="M439" s="4" t="s">
        <v>83</v>
      </c>
      <c r="N439" s="4">
        <v>87.5</v>
      </c>
      <c r="O439" s="4">
        <v>125</v>
      </c>
      <c r="Q439" s="1">
        <v>87.5</v>
      </c>
      <c r="R439" s="1">
        <v>91.5</v>
      </c>
      <c r="S439" s="1">
        <f t="shared" si="3"/>
        <v>1</v>
      </c>
      <c r="T439" s="1">
        <f t="shared" si="4"/>
        <v>0</v>
      </c>
      <c r="U439" s="1">
        <f t="shared" si="5"/>
        <v>0</v>
      </c>
      <c r="V439" s="1">
        <v>142</v>
      </c>
      <c r="W439" s="1">
        <v>125</v>
      </c>
      <c r="Y439" s="24">
        <v>39</v>
      </c>
      <c r="Z439" s="24">
        <v>95.443421138668342</v>
      </c>
      <c r="AA439" s="24">
        <v>-1.9434211386683415</v>
      </c>
      <c r="AB439" s="24"/>
      <c r="AC439" s="24"/>
      <c r="AD439" s="24"/>
      <c r="AE439" s="24"/>
      <c r="AL439" s="24">
        <v>34</v>
      </c>
      <c r="AM439" s="24">
        <v>134.83265559551475</v>
      </c>
      <c r="AN439" s="24">
        <v>2.1673444044852488</v>
      </c>
    </row>
    <row r="440" spans="11:40" ht="28.2" customHeight="1" x14ac:dyDescent="0.3">
      <c r="K440" s="24">
        <v>96.5</v>
      </c>
      <c r="L440" s="24">
        <v>149</v>
      </c>
      <c r="M440" s="4" t="s">
        <v>85</v>
      </c>
      <c r="N440" s="4">
        <v>88.5</v>
      </c>
      <c r="O440" s="4">
        <v>130.5</v>
      </c>
      <c r="Q440" s="1">
        <v>88.5</v>
      </c>
      <c r="R440" s="1">
        <v>96.5</v>
      </c>
      <c r="S440" s="1">
        <f t="shared" si="3"/>
        <v>0</v>
      </c>
      <c r="T440" s="1">
        <f t="shared" si="4"/>
        <v>0</v>
      </c>
      <c r="U440" s="1">
        <f t="shared" si="5"/>
        <v>1</v>
      </c>
      <c r="V440" s="1">
        <v>149</v>
      </c>
      <c r="W440" s="1">
        <v>130.5</v>
      </c>
      <c r="Y440" s="24">
        <v>40</v>
      </c>
      <c r="Z440" s="24">
        <v>95.792146247775761</v>
      </c>
      <c r="AA440" s="24">
        <v>1.7078537522242385</v>
      </c>
      <c r="AB440" s="24"/>
      <c r="AC440" s="24"/>
      <c r="AD440" s="24"/>
      <c r="AE440" s="24"/>
      <c r="AL440" s="24">
        <v>35</v>
      </c>
      <c r="AM440" s="24">
        <v>137.5292676744854</v>
      </c>
      <c r="AN440" s="24">
        <v>-4.5292676744853964</v>
      </c>
    </row>
    <row r="441" spans="11:40" ht="28.2" customHeight="1" x14ac:dyDescent="0.3">
      <c r="K441" s="24">
        <v>102</v>
      </c>
      <c r="L441" s="24">
        <v>153</v>
      </c>
      <c r="M441" s="4" t="s">
        <v>83</v>
      </c>
      <c r="N441" s="4">
        <v>95.5</v>
      </c>
      <c r="O441" s="4">
        <v>136</v>
      </c>
      <c r="Q441" s="1">
        <v>95.5</v>
      </c>
      <c r="R441" s="1">
        <v>102</v>
      </c>
      <c r="S441" s="1">
        <f t="shared" si="3"/>
        <v>1</v>
      </c>
      <c r="T441" s="1">
        <f t="shared" si="4"/>
        <v>0</v>
      </c>
      <c r="U441" s="1">
        <f t="shared" si="5"/>
        <v>0</v>
      </c>
      <c r="V441" s="1">
        <v>153</v>
      </c>
      <c r="W441" s="1">
        <v>136</v>
      </c>
      <c r="Y441" s="24">
        <v>41</v>
      </c>
      <c r="Z441" s="24">
        <v>97.316707766000221</v>
      </c>
      <c r="AA441" s="24">
        <v>2.1832922339997793</v>
      </c>
      <c r="AB441" s="24"/>
      <c r="AC441" s="24"/>
      <c r="AD441" s="24"/>
      <c r="AE441" s="24"/>
      <c r="AL441" s="24">
        <v>36</v>
      </c>
      <c r="AM441" s="24">
        <v>134.14521213767159</v>
      </c>
      <c r="AN441" s="24">
        <v>-1.6452121376715922</v>
      </c>
    </row>
    <row r="442" spans="11:40" ht="28.2" customHeight="1" x14ac:dyDescent="0.3">
      <c r="K442" s="24">
        <v>96</v>
      </c>
      <c r="L442" s="24">
        <v>146.5</v>
      </c>
      <c r="M442" s="4" t="s">
        <v>83</v>
      </c>
      <c r="N442" s="4">
        <v>96.5</v>
      </c>
      <c r="O442" s="4">
        <v>132.5</v>
      </c>
      <c r="Q442" s="1">
        <v>96.5</v>
      </c>
      <c r="R442" s="1">
        <v>96</v>
      </c>
      <c r="S442" s="1">
        <f t="shared" si="3"/>
        <v>1</v>
      </c>
      <c r="T442" s="1">
        <f t="shared" si="4"/>
        <v>0</v>
      </c>
      <c r="U442" s="1">
        <f t="shared" si="5"/>
        <v>0</v>
      </c>
      <c r="V442" s="1">
        <v>146.5</v>
      </c>
      <c r="W442" s="1">
        <v>132.5</v>
      </c>
      <c r="Y442" s="24">
        <v>42</v>
      </c>
      <c r="Z442" s="24">
        <v>96.401970855065542</v>
      </c>
      <c r="AA442" s="24">
        <v>3.0980291449344577</v>
      </c>
      <c r="AB442" s="24"/>
      <c r="AC442" s="24"/>
      <c r="AD442" s="24"/>
      <c r="AE442" s="24"/>
      <c r="AL442" s="24">
        <v>37</v>
      </c>
      <c r="AM442" s="24">
        <v>139.76986534577625</v>
      </c>
      <c r="AN442" s="24">
        <v>-2.2698653457762532</v>
      </c>
    </row>
    <row r="443" spans="11:40" ht="28.2" customHeight="1" x14ac:dyDescent="0.3">
      <c r="K443" s="24">
        <v>96.5</v>
      </c>
      <c r="L443" s="24">
        <v>151.5</v>
      </c>
      <c r="M443" s="4" t="s">
        <v>85</v>
      </c>
      <c r="N443" s="4">
        <v>92.5</v>
      </c>
      <c r="O443" s="4">
        <v>124</v>
      </c>
      <c r="Q443" s="1">
        <v>92.5</v>
      </c>
      <c r="R443" s="1">
        <v>96.5</v>
      </c>
      <c r="S443" s="1">
        <f t="shared" si="3"/>
        <v>0</v>
      </c>
      <c r="T443" s="1">
        <f t="shared" si="4"/>
        <v>0</v>
      </c>
      <c r="U443" s="1">
        <f t="shared" si="5"/>
        <v>1</v>
      </c>
      <c r="V443" s="1">
        <v>151.5</v>
      </c>
      <c r="W443" s="1">
        <v>124</v>
      </c>
      <c r="Y443" s="24">
        <v>43</v>
      </c>
      <c r="Z443" s="24">
        <v>100.67074310609402</v>
      </c>
      <c r="AA443" s="24">
        <v>-1.6707431060940223</v>
      </c>
      <c r="AB443" s="24"/>
      <c r="AC443" s="24"/>
      <c r="AD443" s="24"/>
      <c r="AE443" s="24"/>
      <c r="AL443" s="24">
        <v>38</v>
      </c>
      <c r="AM443" s="24">
        <v>136.67636978548208</v>
      </c>
      <c r="AN443" s="24">
        <v>6.3236302145179195</v>
      </c>
    </row>
    <row r="444" spans="11:40" ht="28.2" customHeight="1" x14ac:dyDescent="0.3">
      <c r="K444" s="24">
        <v>96</v>
      </c>
      <c r="L444" s="24">
        <v>149</v>
      </c>
      <c r="M444" s="4" t="s">
        <v>83</v>
      </c>
      <c r="N444" s="4">
        <v>94.5</v>
      </c>
      <c r="O444" s="4">
        <v>128</v>
      </c>
      <c r="Q444" s="1">
        <v>94.5</v>
      </c>
      <c r="R444" s="1">
        <v>96</v>
      </c>
      <c r="S444" s="1">
        <f t="shared" si="3"/>
        <v>1</v>
      </c>
      <c r="T444" s="1">
        <f t="shared" si="4"/>
        <v>0</v>
      </c>
      <c r="U444" s="1">
        <f t="shared" si="5"/>
        <v>0</v>
      </c>
      <c r="V444" s="1">
        <v>149</v>
      </c>
      <c r="W444" s="1">
        <v>128</v>
      </c>
      <c r="Y444" s="24">
        <v>44</v>
      </c>
      <c r="Z444" s="24">
        <v>93.309035013154102</v>
      </c>
      <c r="AA444" s="24">
        <v>-1.3090350131541015</v>
      </c>
      <c r="AB444" s="24"/>
      <c r="AC444" s="24"/>
      <c r="AD444" s="24"/>
      <c r="AE444" s="24"/>
      <c r="AL444" s="24">
        <v>39</v>
      </c>
      <c r="AM444" s="24">
        <v>128.72220011740188</v>
      </c>
      <c r="AN444" s="24">
        <v>0.27779988259811716</v>
      </c>
    </row>
    <row r="445" spans="11:40" ht="28.2" customHeight="1" x14ac:dyDescent="0.3">
      <c r="K445" s="24">
        <v>91.5</v>
      </c>
      <c r="L445" s="24">
        <v>141.5</v>
      </c>
      <c r="M445" s="4" t="s">
        <v>86</v>
      </c>
      <c r="N445" s="4">
        <v>93</v>
      </c>
      <c r="O445" s="4">
        <v>124</v>
      </c>
      <c r="Q445" s="1">
        <v>93</v>
      </c>
      <c r="R445" s="1">
        <v>91.5</v>
      </c>
      <c r="S445" s="1">
        <f t="shared" si="3"/>
        <v>0</v>
      </c>
      <c r="T445" s="1">
        <f t="shared" si="4"/>
        <v>1</v>
      </c>
      <c r="U445" s="1">
        <f t="shared" si="5"/>
        <v>0</v>
      </c>
      <c r="V445" s="1">
        <v>141.5</v>
      </c>
      <c r="W445" s="1">
        <v>124</v>
      </c>
      <c r="Y445" s="24">
        <v>45</v>
      </c>
      <c r="Z445" s="24">
        <v>92.718280693724282</v>
      </c>
      <c r="AA445" s="24">
        <v>4.2817193062757184</v>
      </c>
      <c r="AB445" s="24"/>
      <c r="AC445" s="24"/>
      <c r="AD445" s="24"/>
      <c r="AE445" s="24"/>
      <c r="AL445" s="24">
        <v>40</v>
      </c>
      <c r="AM445" s="24">
        <v>133.23915249626631</v>
      </c>
      <c r="AN445" s="24">
        <v>-1.2391524962663141</v>
      </c>
    </row>
    <row r="446" spans="11:40" ht="28.2" customHeight="1" x14ac:dyDescent="0.3">
      <c r="K446" s="24">
        <v>95</v>
      </c>
      <c r="L446" s="24">
        <v>148.5</v>
      </c>
      <c r="M446" s="4" t="s">
        <v>83</v>
      </c>
      <c r="N446" s="4">
        <v>89</v>
      </c>
      <c r="O446" s="4">
        <v>131.5</v>
      </c>
      <c r="Q446" s="1">
        <v>89</v>
      </c>
      <c r="R446" s="1">
        <v>95</v>
      </c>
      <c r="S446" s="1">
        <f t="shared" si="3"/>
        <v>1</v>
      </c>
      <c r="T446" s="1">
        <f t="shared" si="4"/>
        <v>0</v>
      </c>
      <c r="U446" s="1">
        <f t="shared" si="5"/>
        <v>0</v>
      </c>
      <c r="V446" s="1">
        <v>148.5</v>
      </c>
      <c r="W446" s="1">
        <v>131.5</v>
      </c>
      <c r="Y446" s="24">
        <v>46</v>
      </c>
      <c r="Z446" s="24">
        <v>102.50021692796336</v>
      </c>
      <c r="AA446" s="24">
        <v>-1.5002169279633648</v>
      </c>
      <c r="AB446" s="24"/>
      <c r="AC446" s="24"/>
      <c r="AD446" s="24"/>
      <c r="AE446" s="24"/>
      <c r="AL446" s="24">
        <v>41</v>
      </c>
      <c r="AM446" s="24">
        <v>136.33264805656049</v>
      </c>
      <c r="AN446" s="24">
        <v>2.6673519434395132</v>
      </c>
    </row>
    <row r="447" spans="11:40" ht="28.2" customHeight="1" x14ac:dyDescent="0.3">
      <c r="K447" s="24">
        <v>101</v>
      </c>
      <c r="L447" s="24">
        <v>143.5</v>
      </c>
      <c r="M447" s="4" t="s">
        <v>85</v>
      </c>
      <c r="N447" s="4">
        <v>90.5</v>
      </c>
      <c r="O447" s="4">
        <v>129.5</v>
      </c>
      <c r="Q447" s="1">
        <v>90.5</v>
      </c>
      <c r="R447" s="1">
        <v>101</v>
      </c>
      <c r="S447" s="1">
        <f t="shared" si="3"/>
        <v>0</v>
      </c>
      <c r="T447" s="1">
        <f t="shared" si="4"/>
        <v>0</v>
      </c>
      <c r="U447" s="1">
        <f t="shared" si="5"/>
        <v>1</v>
      </c>
      <c r="V447" s="1">
        <v>143.5</v>
      </c>
      <c r="W447" s="1">
        <v>129.5</v>
      </c>
      <c r="Y447" s="24">
        <v>47</v>
      </c>
      <c r="Z447" s="24">
        <v>92.43811090768196</v>
      </c>
      <c r="AA447" s="24">
        <v>-2.9381109076819598</v>
      </c>
      <c r="AB447" s="24"/>
      <c r="AC447" s="24"/>
      <c r="AD447" s="24"/>
      <c r="AE447" s="24"/>
      <c r="AL447" s="24">
        <v>42</v>
      </c>
      <c r="AM447" s="24">
        <v>135.98892632763892</v>
      </c>
      <c r="AN447" s="24">
        <v>6.5110736723610785</v>
      </c>
    </row>
    <row r="448" spans="11:40" ht="28.2" customHeight="1" x14ac:dyDescent="0.3">
      <c r="K448" s="24">
        <v>90</v>
      </c>
      <c r="L448" s="24">
        <v>147.5</v>
      </c>
      <c r="M448" s="4" t="s">
        <v>83</v>
      </c>
      <c r="N448" s="4">
        <v>92</v>
      </c>
      <c r="O448" s="4">
        <v>132</v>
      </c>
      <c r="Q448" s="1">
        <v>92</v>
      </c>
      <c r="R448" s="1">
        <v>90</v>
      </c>
      <c r="S448" s="1">
        <f t="shared" si="3"/>
        <v>1</v>
      </c>
      <c r="T448" s="1">
        <f t="shared" si="4"/>
        <v>0</v>
      </c>
      <c r="U448" s="1">
        <f t="shared" si="5"/>
        <v>0</v>
      </c>
      <c r="V448" s="1">
        <v>147.5</v>
      </c>
      <c r="W448" s="1">
        <v>132</v>
      </c>
      <c r="Y448" s="24">
        <v>48</v>
      </c>
      <c r="Z448" s="24">
        <v>96.401970855065542</v>
      </c>
      <c r="AA448" s="24">
        <v>9.802914493445769E-2</v>
      </c>
      <c r="AB448" s="24"/>
      <c r="AC448" s="24"/>
      <c r="AD448" s="24"/>
      <c r="AE448" s="24"/>
      <c r="AL448" s="24">
        <v>43</v>
      </c>
      <c r="AM448" s="24">
        <v>138.39497843008996</v>
      </c>
      <c r="AN448" s="24">
        <v>3.6050215699100363</v>
      </c>
    </row>
    <row r="449" spans="11:40" ht="28.2" customHeight="1" x14ac:dyDescent="0.3">
      <c r="K449" s="24">
        <v>95</v>
      </c>
      <c r="L449" s="24">
        <v>140.5</v>
      </c>
      <c r="M449" s="4" t="s">
        <v>83</v>
      </c>
      <c r="N449" s="4">
        <v>92</v>
      </c>
      <c r="O449" s="4">
        <v>136</v>
      </c>
      <c r="Q449" s="1">
        <v>92</v>
      </c>
      <c r="R449" s="1">
        <v>95</v>
      </c>
      <c r="S449" s="1">
        <f t="shared" si="3"/>
        <v>1</v>
      </c>
      <c r="T449" s="1">
        <f t="shared" si="4"/>
        <v>0</v>
      </c>
      <c r="U449" s="1">
        <f t="shared" si="5"/>
        <v>0</v>
      </c>
      <c r="V449" s="1">
        <v>140.5</v>
      </c>
      <c r="W449" s="1">
        <v>136</v>
      </c>
      <c r="Y449" s="24">
        <v>49</v>
      </c>
      <c r="Z449" s="24">
        <v>95.138508835023444</v>
      </c>
      <c r="AA449" s="24">
        <v>-3.638508835023444</v>
      </c>
      <c r="AB449" s="24"/>
      <c r="AC449" s="24"/>
      <c r="AD449" s="24"/>
      <c r="AE449" s="24"/>
      <c r="AL449" s="24">
        <v>44</v>
      </c>
      <c r="AM449" s="24">
        <v>125.2849828281861</v>
      </c>
      <c r="AN449" s="24">
        <v>1.7150171718138978</v>
      </c>
    </row>
    <row r="450" spans="11:40" ht="28.2" customHeight="1" x14ac:dyDescent="0.3">
      <c r="K450" s="24">
        <v>94.5</v>
      </c>
      <c r="L450" s="24">
        <v>143</v>
      </c>
      <c r="M450" s="4" t="s">
        <v>83</v>
      </c>
      <c r="N450" s="4">
        <v>91</v>
      </c>
      <c r="O450" s="4">
        <v>124.5</v>
      </c>
      <c r="Q450" s="1">
        <v>91</v>
      </c>
      <c r="R450" s="1">
        <v>94.5</v>
      </c>
      <c r="S450" s="1">
        <f t="shared" si="3"/>
        <v>1</v>
      </c>
      <c r="T450" s="1">
        <f t="shared" si="4"/>
        <v>0</v>
      </c>
      <c r="U450" s="1">
        <f t="shared" si="5"/>
        <v>0</v>
      </c>
      <c r="V450" s="1">
        <v>143</v>
      </c>
      <c r="W450" s="1">
        <v>124.5</v>
      </c>
      <c r="Y450" s="24">
        <v>50</v>
      </c>
      <c r="Z450" s="24">
        <v>93.881719306275699</v>
      </c>
      <c r="AA450" s="24">
        <v>1.1182806937243015</v>
      </c>
      <c r="AB450" s="24"/>
      <c r="AC450" s="24"/>
      <c r="AD450" s="24"/>
      <c r="AE450" s="24"/>
      <c r="AL450" s="24">
        <v>45</v>
      </c>
      <c r="AM450" s="24">
        <v>135.86382078227948</v>
      </c>
      <c r="AN450" s="24">
        <v>7.6361792177205245</v>
      </c>
    </row>
    <row r="451" spans="11:40" ht="28.2" customHeight="1" x14ac:dyDescent="0.3">
      <c r="K451" s="24">
        <v>100</v>
      </c>
      <c r="L451" s="24">
        <v>147</v>
      </c>
      <c r="M451" s="4" t="s">
        <v>86</v>
      </c>
      <c r="N451" s="4">
        <v>88</v>
      </c>
      <c r="O451" s="4">
        <v>120.5</v>
      </c>
      <c r="Q451" s="1">
        <v>88</v>
      </c>
      <c r="R451" s="1">
        <v>100</v>
      </c>
      <c r="S451" s="1">
        <f t="shared" si="3"/>
        <v>0</v>
      </c>
      <c r="T451" s="1">
        <f t="shared" si="4"/>
        <v>1</v>
      </c>
      <c r="U451" s="1">
        <f t="shared" si="5"/>
        <v>0</v>
      </c>
      <c r="V451" s="1">
        <v>147</v>
      </c>
      <c r="W451" s="1">
        <v>120.5</v>
      </c>
      <c r="Y451" s="24">
        <v>51</v>
      </c>
      <c r="Z451" s="24">
        <v>98.84126928422468</v>
      </c>
      <c r="AA451" s="24">
        <v>-3.3412692842246798</v>
      </c>
      <c r="AB451" s="24"/>
      <c r="AC451" s="24"/>
      <c r="AD451" s="24"/>
      <c r="AE451" s="24"/>
      <c r="AL451" s="24">
        <v>46</v>
      </c>
      <c r="AM451" s="24">
        <v>142.51963917714886</v>
      </c>
      <c r="AN451" s="24">
        <v>0.98036082285113935</v>
      </c>
    </row>
    <row r="452" spans="11:40" ht="28.2" customHeight="1" x14ac:dyDescent="0.3">
      <c r="K452" s="24">
        <v>97</v>
      </c>
      <c r="L452" s="24">
        <v>144</v>
      </c>
      <c r="M452" s="4" t="s">
        <v>83</v>
      </c>
      <c r="N452" s="4">
        <v>92</v>
      </c>
      <c r="O452" s="4">
        <v>129.5</v>
      </c>
      <c r="Q452" s="1">
        <v>92</v>
      </c>
      <c r="R452" s="1">
        <v>97</v>
      </c>
      <c r="S452" s="1">
        <f t="shared" si="3"/>
        <v>1</v>
      </c>
      <c r="T452" s="1">
        <f t="shared" si="4"/>
        <v>0</v>
      </c>
      <c r="U452" s="1">
        <f t="shared" si="5"/>
        <v>0</v>
      </c>
      <c r="V452" s="1">
        <v>144</v>
      </c>
      <c r="W452" s="1">
        <v>129.5</v>
      </c>
      <c r="Y452" s="24">
        <v>52</v>
      </c>
      <c r="Z452" s="24">
        <v>93.657760122261521</v>
      </c>
      <c r="AA452" s="24">
        <v>-0.15776012226152147</v>
      </c>
      <c r="AB452" s="24"/>
      <c r="AC452" s="24"/>
      <c r="AD452" s="24"/>
      <c r="AE452" s="24"/>
      <c r="AL452" s="24">
        <v>47</v>
      </c>
      <c r="AM452" s="24">
        <v>134.9577611408742</v>
      </c>
      <c r="AN452" s="24">
        <v>1.0422388591258027</v>
      </c>
    </row>
    <row r="453" spans="11:40" ht="28.2" customHeight="1" x14ac:dyDescent="0.3">
      <c r="K453" s="24">
        <v>96</v>
      </c>
      <c r="L453" s="24">
        <v>147</v>
      </c>
      <c r="M453" s="4" t="s">
        <v>83</v>
      </c>
      <c r="N453" s="4">
        <v>94</v>
      </c>
      <c r="O453" s="4">
        <v>133.5</v>
      </c>
      <c r="Q453" s="1">
        <v>94</v>
      </c>
      <c r="R453" s="1">
        <v>96</v>
      </c>
      <c r="S453" s="1">
        <f t="shared" si="3"/>
        <v>1</v>
      </c>
      <c r="T453" s="1">
        <f t="shared" si="4"/>
        <v>0</v>
      </c>
      <c r="U453" s="1">
        <f t="shared" si="5"/>
        <v>0</v>
      </c>
      <c r="V453" s="1">
        <v>147</v>
      </c>
      <c r="W453" s="1">
        <v>133.5</v>
      </c>
      <c r="Y453" s="24">
        <v>53</v>
      </c>
      <c r="Z453" s="24">
        <v>89.974069960920275</v>
      </c>
      <c r="AA453" s="24">
        <v>5.025930039079725</v>
      </c>
      <c r="AB453" s="24"/>
      <c r="AC453" s="24"/>
      <c r="AD453" s="24"/>
      <c r="AE453" s="24"/>
      <c r="AL453" s="24">
        <v>48</v>
      </c>
      <c r="AM453" s="24">
        <v>135.98892632763892</v>
      </c>
      <c r="AN453" s="24">
        <v>-2.9889263276389215</v>
      </c>
    </row>
    <row r="454" spans="11:40" ht="28.2" customHeight="1" x14ac:dyDescent="0.3">
      <c r="K454" s="24">
        <v>94</v>
      </c>
      <c r="L454" s="24">
        <v>143</v>
      </c>
      <c r="M454" s="4" t="s">
        <v>83</v>
      </c>
      <c r="N454" s="4">
        <v>93</v>
      </c>
      <c r="O454" s="4">
        <v>127.5</v>
      </c>
      <c r="Q454" s="1">
        <v>93</v>
      </c>
      <c r="R454" s="1">
        <v>94</v>
      </c>
      <c r="S454" s="1">
        <f t="shared" si="3"/>
        <v>1</v>
      </c>
      <c r="T454" s="1">
        <f t="shared" si="4"/>
        <v>0</v>
      </c>
      <c r="U454" s="1">
        <f t="shared" si="5"/>
        <v>0</v>
      </c>
      <c r="V454" s="1">
        <v>143</v>
      </c>
      <c r="W454" s="1">
        <v>127.5</v>
      </c>
      <c r="Y454" s="24">
        <v>54</v>
      </c>
      <c r="Z454" s="24">
        <v>92.662070091696137</v>
      </c>
      <c r="AA454" s="24">
        <v>0.33792990830386316</v>
      </c>
      <c r="AB454" s="24"/>
      <c r="AC454" s="24"/>
      <c r="AD454" s="24"/>
      <c r="AE454" s="24"/>
      <c r="AL454" s="24">
        <v>49</v>
      </c>
      <c r="AM454" s="24">
        <v>131.81569567769606</v>
      </c>
      <c r="AN454" s="24">
        <v>-1.3156956776960556</v>
      </c>
    </row>
    <row r="455" spans="11:40" ht="28.2" customHeight="1" x14ac:dyDescent="0.3">
      <c r="K455" s="24">
        <v>91</v>
      </c>
      <c r="L455" s="24">
        <v>143.5</v>
      </c>
      <c r="M455" s="4" t="s">
        <v>83</v>
      </c>
      <c r="N455" s="4">
        <v>90</v>
      </c>
      <c r="O455" s="4">
        <v>123</v>
      </c>
      <c r="Q455" s="1">
        <v>90</v>
      </c>
      <c r="R455" s="1">
        <v>91</v>
      </c>
      <c r="S455" s="1">
        <f t="shared" si="3"/>
        <v>1</v>
      </c>
      <c r="T455" s="1">
        <f t="shared" si="4"/>
        <v>0</v>
      </c>
      <c r="U455" s="1">
        <f t="shared" si="5"/>
        <v>0</v>
      </c>
      <c r="V455" s="1">
        <v>143.5</v>
      </c>
      <c r="W455" s="1">
        <v>123</v>
      </c>
      <c r="Y455" s="24">
        <v>55</v>
      </c>
      <c r="Z455" s="24">
        <v>95.138508835023444</v>
      </c>
      <c r="AA455" s="24">
        <v>1.361491164976556</v>
      </c>
      <c r="AB455" s="24"/>
      <c r="AC455" s="24"/>
      <c r="AD455" s="24"/>
      <c r="AE455" s="24"/>
      <c r="AL455" s="24">
        <v>50</v>
      </c>
      <c r="AM455" s="24">
        <v>130.99855482497546</v>
      </c>
      <c r="AN455" s="24">
        <v>1.5014451750245428</v>
      </c>
    </row>
    <row r="456" spans="11:40" ht="28.2" customHeight="1" x14ac:dyDescent="0.3">
      <c r="K456" s="24">
        <v>95</v>
      </c>
      <c r="L456" s="24">
        <v>146.5</v>
      </c>
      <c r="M456" s="4" t="s">
        <v>85</v>
      </c>
      <c r="N456" s="4">
        <v>84</v>
      </c>
      <c r="O456" s="4">
        <v>124</v>
      </c>
      <c r="Q456" s="1">
        <v>84</v>
      </c>
      <c r="R456" s="1">
        <v>95</v>
      </c>
      <c r="S456" s="1">
        <f t="shared" si="3"/>
        <v>0</v>
      </c>
      <c r="T456" s="1">
        <f t="shared" si="4"/>
        <v>0</v>
      </c>
      <c r="U456" s="1">
        <f t="shared" si="5"/>
        <v>1</v>
      </c>
      <c r="V456" s="1">
        <v>146.5</v>
      </c>
      <c r="W456" s="1">
        <v>124</v>
      </c>
      <c r="Y456" s="24">
        <v>56</v>
      </c>
      <c r="Z456" s="24">
        <v>95.487233944130878</v>
      </c>
      <c r="AA456" s="24">
        <v>4.5127660558691218</v>
      </c>
      <c r="AB456" s="24"/>
      <c r="AC456" s="24"/>
      <c r="AD456" s="24"/>
      <c r="AE456" s="24"/>
      <c r="AL456" s="24">
        <v>51</v>
      </c>
      <c r="AM456" s="24">
        <v>135.30148286979576</v>
      </c>
      <c r="AN456" s="24">
        <v>5.6985171302042374</v>
      </c>
    </row>
    <row r="457" spans="11:40" ht="28.2" customHeight="1" x14ac:dyDescent="0.3">
      <c r="K457" s="24">
        <v>96.5</v>
      </c>
      <c r="L457" s="24">
        <v>140</v>
      </c>
      <c r="M457" s="4" t="s">
        <v>83</v>
      </c>
      <c r="N457" s="4">
        <v>92</v>
      </c>
      <c r="O457" s="4">
        <v>124</v>
      </c>
      <c r="Q457" s="1">
        <v>92</v>
      </c>
      <c r="R457" s="1">
        <v>96.5</v>
      </c>
      <c r="S457" s="1">
        <f t="shared" si="3"/>
        <v>1</v>
      </c>
      <c r="T457" s="1">
        <f t="shared" si="4"/>
        <v>0</v>
      </c>
      <c r="U457" s="1">
        <f t="shared" si="5"/>
        <v>0</v>
      </c>
      <c r="V457" s="1">
        <v>140</v>
      </c>
      <c r="W457" s="1">
        <v>124</v>
      </c>
      <c r="Y457" s="24">
        <v>57</v>
      </c>
      <c r="Z457" s="24">
        <v>93.271894698985932</v>
      </c>
      <c r="AA457" s="24">
        <v>-3.7718946989859319</v>
      </c>
      <c r="AB457" s="24"/>
      <c r="AC457" s="24"/>
      <c r="AD457" s="24"/>
      <c r="AE457" s="24"/>
      <c r="AL457" s="24">
        <v>52</v>
      </c>
      <c r="AM457" s="24">
        <v>136.33264805656049</v>
      </c>
      <c r="AN457" s="24">
        <v>-2.8326480565604868</v>
      </c>
    </row>
    <row r="458" spans="11:40" ht="28.2" customHeight="1" x14ac:dyDescent="0.3">
      <c r="K458" s="24">
        <v>92</v>
      </c>
      <c r="L458" s="24">
        <v>139.5</v>
      </c>
      <c r="M458" s="4" t="s">
        <v>83</v>
      </c>
      <c r="N458" s="4">
        <v>85.5</v>
      </c>
      <c r="O458" s="4">
        <v>120.5</v>
      </c>
      <c r="Q458" s="1">
        <v>85.5</v>
      </c>
      <c r="R458" s="1">
        <v>92</v>
      </c>
      <c r="S458" s="1">
        <f t="shared" si="3"/>
        <v>1</v>
      </c>
      <c r="T458" s="1">
        <f t="shared" si="4"/>
        <v>0</v>
      </c>
      <c r="U458" s="1">
        <f t="shared" si="5"/>
        <v>0</v>
      </c>
      <c r="V458" s="1">
        <v>139.5</v>
      </c>
      <c r="W458" s="1">
        <v>120.5</v>
      </c>
      <c r="Y458" s="24">
        <v>58</v>
      </c>
      <c r="Z458" s="24">
        <v>94.267584729551317</v>
      </c>
      <c r="AA458" s="24">
        <v>4.7324152704486835</v>
      </c>
      <c r="AB458" s="24"/>
      <c r="AC458" s="24"/>
      <c r="AD458" s="24"/>
      <c r="AE458" s="24"/>
      <c r="AL458" s="24">
        <v>53</v>
      </c>
      <c r="AM458" s="24">
        <v>130.02055139061267</v>
      </c>
      <c r="AN458" s="24">
        <v>0.97944860938733314</v>
      </c>
    </row>
    <row r="459" spans="11:40" ht="28.2" customHeight="1" x14ac:dyDescent="0.3">
      <c r="K459" s="24">
        <v>89</v>
      </c>
      <c r="L459" s="24">
        <v>136</v>
      </c>
      <c r="M459" s="4" t="s">
        <v>83</v>
      </c>
      <c r="N459" s="4">
        <v>89</v>
      </c>
      <c r="O459" s="4">
        <v>127</v>
      </c>
      <c r="Q459" s="1">
        <v>89</v>
      </c>
      <c r="R459" s="1">
        <v>89</v>
      </c>
      <c r="S459" s="1">
        <f t="shared" si="3"/>
        <v>1</v>
      </c>
      <c r="T459" s="1">
        <f t="shared" si="4"/>
        <v>0</v>
      </c>
      <c r="U459" s="1">
        <f t="shared" si="5"/>
        <v>0</v>
      </c>
      <c r="V459" s="1">
        <v>136</v>
      </c>
      <c r="W459" s="1">
        <v>127</v>
      </c>
      <c r="Y459" s="24">
        <v>59</v>
      </c>
      <c r="Z459" s="24">
        <v>96.097058551420645</v>
      </c>
      <c r="AA459" s="24">
        <v>-1.5970585514206448</v>
      </c>
      <c r="AB459" s="24"/>
      <c r="AC459" s="24"/>
      <c r="AD459" s="24"/>
      <c r="AE459" s="24"/>
      <c r="AL459" s="24">
        <v>54</v>
      </c>
      <c r="AM459" s="24">
        <v>130.65483309605389</v>
      </c>
      <c r="AN459" s="24">
        <v>3.3451669039461081</v>
      </c>
    </row>
    <row r="460" spans="11:40" ht="28.2" customHeight="1" x14ac:dyDescent="0.3">
      <c r="K460" s="24">
        <v>96</v>
      </c>
      <c r="L460" s="24">
        <v>147.5</v>
      </c>
      <c r="M460" s="4" t="s">
        <v>83</v>
      </c>
      <c r="N460" s="4">
        <v>93</v>
      </c>
      <c r="O460" s="4">
        <v>129</v>
      </c>
      <c r="Q460" s="1">
        <v>93</v>
      </c>
      <c r="R460" s="1">
        <v>96</v>
      </c>
      <c r="S460" s="1">
        <f t="shared" si="3"/>
        <v>1</v>
      </c>
      <c r="T460" s="1">
        <f t="shared" si="4"/>
        <v>0</v>
      </c>
      <c r="U460" s="1">
        <f t="shared" si="5"/>
        <v>0</v>
      </c>
      <c r="V460" s="1">
        <v>147.5</v>
      </c>
      <c r="W460" s="1">
        <v>129</v>
      </c>
      <c r="Y460" s="24">
        <v>60</v>
      </c>
      <c r="Z460" s="24">
        <v>93.613947316798985</v>
      </c>
      <c r="AA460" s="24">
        <v>-1.6139473167989848</v>
      </c>
      <c r="AB460" s="24"/>
      <c r="AC460" s="24"/>
      <c r="AD460" s="24"/>
      <c r="AE460" s="24"/>
      <c r="AL460" s="24">
        <v>55</v>
      </c>
      <c r="AM460" s="24">
        <v>137.31524334044127</v>
      </c>
      <c r="AN460" s="24">
        <v>12.68475665955873</v>
      </c>
    </row>
    <row r="461" spans="11:40" ht="28.2" customHeight="1" x14ac:dyDescent="0.3">
      <c r="K461" s="24">
        <v>91.5</v>
      </c>
      <c r="L461" s="24">
        <v>141.5</v>
      </c>
      <c r="M461" s="4" t="s">
        <v>83</v>
      </c>
      <c r="N461" s="4">
        <v>88.5</v>
      </c>
      <c r="O461" s="4">
        <v>128.5</v>
      </c>
      <c r="Q461" s="1">
        <v>88.5</v>
      </c>
      <c r="R461" s="1">
        <v>91.5</v>
      </c>
      <c r="S461" s="1">
        <f t="shared" si="3"/>
        <v>1</v>
      </c>
      <c r="T461" s="1">
        <f t="shared" si="4"/>
        <v>0</v>
      </c>
      <c r="U461" s="1">
        <f t="shared" si="5"/>
        <v>0</v>
      </c>
      <c r="V461" s="1">
        <v>141.5</v>
      </c>
      <c r="W461" s="1">
        <v>128.5</v>
      </c>
      <c r="Y461" s="24">
        <v>61</v>
      </c>
      <c r="Z461" s="24">
        <v>97.621620069645104</v>
      </c>
      <c r="AA461" s="24">
        <v>-3.621620069645104</v>
      </c>
      <c r="AB461" s="24"/>
      <c r="AC461" s="24"/>
      <c r="AD461" s="24"/>
      <c r="AE461" s="24"/>
      <c r="AL461" s="24">
        <v>56</v>
      </c>
      <c r="AM461" s="24">
        <v>135.98892632763892</v>
      </c>
      <c r="AN461" s="24">
        <v>-3.4889263276389215</v>
      </c>
    </row>
    <row r="462" spans="11:40" ht="28.2" customHeight="1" x14ac:dyDescent="0.3">
      <c r="K462" s="24">
        <v>94.5</v>
      </c>
      <c r="L462" s="24">
        <v>146</v>
      </c>
      <c r="M462" s="4" t="s">
        <v>87</v>
      </c>
      <c r="N462" s="4">
        <v>93</v>
      </c>
      <c r="O462" s="4">
        <v>128</v>
      </c>
      <c r="Q462" s="1">
        <v>93</v>
      </c>
      <c r="R462" s="1">
        <v>94.5</v>
      </c>
      <c r="S462" s="1">
        <f t="shared" si="3"/>
        <v>0</v>
      </c>
      <c r="T462" s="1">
        <f t="shared" si="4"/>
        <v>0</v>
      </c>
      <c r="U462" s="1">
        <f t="shared" si="5"/>
        <v>0</v>
      </c>
      <c r="V462" s="1">
        <v>146</v>
      </c>
      <c r="W462" s="1">
        <v>128</v>
      </c>
      <c r="Y462" s="24">
        <v>62</v>
      </c>
      <c r="Z462" s="24">
        <v>97.316707766000221</v>
      </c>
      <c r="AA462" s="24">
        <v>4.1832922339997793</v>
      </c>
      <c r="AB462" s="24"/>
      <c r="AC462" s="24"/>
      <c r="AD462" s="24"/>
      <c r="AE462" s="24"/>
      <c r="AL462" s="24">
        <v>57</v>
      </c>
      <c r="AM462" s="24">
        <v>136.49810248772067</v>
      </c>
      <c r="AN462" s="24">
        <v>-3.9981024877206721</v>
      </c>
    </row>
    <row r="463" spans="11:40" ht="28.2" customHeight="1" x14ac:dyDescent="0.3">
      <c r="K463" s="24">
        <v>92</v>
      </c>
      <c r="L463" s="24">
        <v>136</v>
      </c>
      <c r="M463" s="4" t="s">
        <v>85</v>
      </c>
      <c r="N463" s="4">
        <v>83</v>
      </c>
      <c r="O463" s="4">
        <v>128.5</v>
      </c>
      <c r="Q463" s="1">
        <v>83</v>
      </c>
      <c r="R463" s="1">
        <v>92</v>
      </c>
      <c r="S463" s="1">
        <f t="shared" si="3"/>
        <v>0</v>
      </c>
      <c r="T463" s="1">
        <f t="shared" si="4"/>
        <v>0</v>
      </c>
      <c r="U463" s="1">
        <f t="shared" si="5"/>
        <v>1</v>
      </c>
      <c r="V463" s="1">
        <v>136</v>
      </c>
      <c r="W463" s="1">
        <v>128.5</v>
      </c>
      <c r="Y463" s="24">
        <v>63</v>
      </c>
      <c r="Z463" s="24">
        <v>94.5724970331962</v>
      </c>
      <c r="AA463" s="24">
        <v>-2.5724970331961998</v>
      </c>
      <c r="AB463" s="24"/>
      <c r="AC463" s="24"/>
      <c r="AD463" s="24"/>
      <c r="AE463" s="24"/>
      <c r="AL463" s="24">
        <v>58</v>
      </c>
      <c r="AM463" s="24">
        <v>133.92659595410947</v>
      </c>
      <c r="AN463" s="24">
        <v>9.073404045890527</v>
      </c>
    </row>
    <row r="464" spans="11:40" ht="28.2" customHeight="1" x14ac:dyDescent="0.3">
      <c r="K464" s="24">
        <v>93</v>
      </c>
      <c r="L464" s="24">
        <v>138.5</v>
      </c>
      <c r="M464" s="4" t="s">
        <v>83</v>
      </c>
      <c r="N464" s="4">
        <v>89</v>
      </c>
      <c r="O464" s="4">
        <v>133.5</v>
      </c>
      <c r="Q464" s="1">
        <v>89</v>
      </c>
      <c r="R464" s="1">
        <v>93</v>
      </c>
      <c r="S464" s="1">
        <f>IF($M464="None", 1, 0)</f>
        <v>1</v>
      </c>
      <c r="T464" s="1">
        <f t="shared" si="4"/>
        <v>0</v>
      </c>
      <c r="U464" s="1">
        <f t="shared" si="5"/>
        <v>0</v>
      </c>
      <c r="V464" s="1">
        <v>138.5</v>
      </c>
      <c r="W464" s="1">
        <v>133.5</v>
      </c>
      <c r="Y464" s="24">
        <v>64</v>
      </c>
      <c r="Z464" s="24">
        <v>97.926532373290001</v>
      </c>
      <c r="AA464" s="24">
        <v>-0.42653237329000149</v>
      </c>
      <c r="AB464" s="24"/>
      <c r="AC464" s="24"/>
      <c r="AD464" s="24"/>
      <c r="AE464" s="24"/>
      <c r="AL464" s="24">
        <v>59</v>
      </c>
      <c r="AM464" s="24">
        <v>135.30148286979576</v>
      </c>
      <c r="AN464" s="24">
        <v>2.1985171302042374</v>
      </c>
    </row>
    <row r="465" spans="11:40" ht="28.2" customHeight="1" x14ac:dyDescent="0.3">
      <c r="K465" s="24">
        <v>92.5</v>
      </c>
      <c r="L465" s="24">
        <v>148.5</v>
      </c>
      <c r="M465" s="4" t="s">
        <v>83</v>
      </c>
      <c r="N465" s="4">
        <v>90</v>
      </c>
      <c r="O465" s="4">
        <v>126.5</v>
      </c>
      <c r="Q465" s="1">
        <v>90</v>
      </c>
      <c r="R465" s="1">
        <v>92.5</v>
      </c>
      <c r="S465" s="1">
        <f>IF($M465="None", 1, 0)</f>
        <v>1</v>
      </c>
      <c r="T465" s="1">
        <f t="shared" si="4"/>
        <v>0</v>
      </c>
      <c r="U465" s="1">
        <f t="shared" si="5"/>
        <v>0</v>
      </c>
      <c r="V465" s="1">
        <v>148.5</v>
      </c>
      <c r="W465" s="1">
        <v>126.5</v>
      </c>
      <c r="Y465" s="24">
        <v>65</v>
      </c>
      <c r="Z465" s="24">
        <v>92.08938579857454</v>
      </c>
      <c r="AA465" s="24">
        <v>-8.9385798574539876E-2</v>
      </c>
      <c r="AB465" s="24"/>
      <c r="AC465" s="24"/>
      <c r="AD465" s="24"/>
      <c r="AE465" s="24"/>
      <c r="AL465" s="24">
        <v>60</v>
      </c>
      <c r="AM465" s="24">
        <v>131.1282522198529</v>
      </c>
      <c r="AN465" s="24">
        <v>-4.6282522198528966</v>
      </c>
    </row>
    <row r="466" spans="11:40" ht="28.2" customHeight="1" x14ac:dyDescent="0.3">
      <c r="Y466" s="24">
        <v>66</v>
      </c>
      <c r="Z466" s="24">
        <v>91.193719175499837</v>
      </c>
      <c r="AA466" s="24">
        <v>2.3062808245001634</v>
      </c>
      <c r="AB466" s="24"/>
      <c r="AC466" s="24"/>
      <c r="AD466" s="24"/>
      <c r="AE466" s="24"/>
      <c r="AL466" s="24">
        <v>61</v>
      </c>
      <c r="AM466" s="24">
        <v>132.20798730950159</v>
      </c>
      <c r="AN466" s="24">
        <v>3.7920126904984102</v>
      </c>
    </row>
    <row r="467" spans="11:40" ht="28.2" customHeight="1" x14ac:dyDescent="0.3">
      <c r="Y467" s="24">
        <v>67</v>
      </c>
      <c r="Z467" s="24">
        <v>93.576807002630815</v>
      </c>
      <c r="AA467" s="24">
        <v>-4.0768070026308152</v>
      </c>
      <c r="AB467" s="24"/>
      <c r="AC467" s="24"/>
      <c r="AD467" s="24"/>
      <c r="AE467" s="24"/>
      <c r="AL467" s="24">
        <v>62</v>
      </c>
      <c r="AM467" s="24">
        <v>133.92659595410947</v>
      </c>
      <c r="AN467" s="24">
        <v>6.573404045890527</v>
      </c>
    </row>
    <row r="468" spans="11:40" ht="28.2" customHeight="1" x14ac:dyDescent="0.3">
      <c r="Y468" s="24">
        <v>68</v>
      </c>
      <c r="Z468" s="24">
        <v>95.487233944130878</v>
      </c>
      <c r="AA468" s="24">
        <v>5.0127660558691218</v>
      </c>
      <c r="AB468" s="24"/>
      <c r="AC468" s="24"/>
      <c r="AD468" s="24"/>
      <c r="AE468" s="24"/>
      <c r="AL468" s="24">
        <v>63</v>
      </c>
      <c r="AM468" s="24">
        <v>134.27031768303104</v>
      </c>
      <c r="AN468" s="24">
        <v>0.22968231696896169</v>
      </c>
    </row>
    <row r="469" spans="11:40" ht="28.2" customHeight="1" x14ac:dyDescent="0.3">
      <c r="Y469" s="24">
        <v>69</v>
      </c>
      <c r="Z469" s="24">
        <v>90.888806871854953</v>
      </c>
      <c r="AA469" s="24">
        <v>-1.8888068718549533</v>
      </c>
      <c r="AB469" s="24"/>
      <c r="AC469" s="24"/>
      <c r="AD469" s="24"/>
      <c r="AE469" s="24"/>
      <c r="AL469" s="24">
        <v>64</v>
      </c>
      <c r="AM469" s="24">
        <v>140.80103053254098</v>
      </c>
      <c r="AN469" s="24">
        <v>-3.3010305325409774</v>
      </c>
    </row>
    <row r="470" spans="11:40" ht="28.2" customHeight="1" x14ac:dyDescent="0.3">
      <c r="Y470" s="24">
        <v>70</v>
      </c>
      <c r="Z470" s="24">
        <v>91.137508573471692</v>
      </c>
      <c r="AA470" s="24">
        <v>4.8624914265283081</v>
      </c>
      <c r="AB470" s="24"/>
      <c r="AC470" s="24"/>
      <c r="AD470" s="24"/>
      <c r="AE470" s="24"/>
      <c r="AL470" s="24">
        <v>65</v>
      </c>
      <c r="AM470" s="24">
        <v>124.59753937034294</v>
      </c>
      <c r="AN470" s="24">
        <v>-0.59753937034294324</v>
      </c>
    </row>
    <row r="471" spans="11:40" ht="28.2" customHeight="1" x14ac:dyDescent="0.3">
      <c r="Y471" s="24">
        <v>71</v>
      </c>
      <c r="Z471" s="24">
        <v>95.182321640485981</v>
      </c>
      <c r="AA471" s="24">
        <v>-0.18232164048598065</v>
      </c>
      <c r="AB471" s="24"/>
      <c r="AC471" s="24"/>
      <c r="AD471" s="24"/>
      <c r="AE471" s="24"/>
      <c r="AL471" s="24">
        <v>66</v>
      </c>
      <c r="AM471" s="24">
        <v>133.45776867982843</v>
      </c>
      <c r="AN471" s="24">
        <v>-6.9577686798284333</v>
      </c>
    </row>
    <row r="472" spans="11:40" ht="28.2" customHeight="1" x14ac:dyDescent="0.3">
      <c r="Y472" s="24">
        <v>72</v>
      </c>
      <c r="Z472" s="24">
        <v>94.877409336841083</v>
      </c>
      <c r="AA472" s="24">
        <v>1.1225906631589169</v>
      </c>
      <c r="AB472" s="24"/>
      <c r="AC472" s="24"/>
      <c r="AD472" s="24"/>
      <c r="AE472" s="24"/>
      <c r="AL472" s="24">
        <v>67</v>
      </c>
      <c r="AM472" s="24">
        <v>134.77949384311279</v>
      </c>
      <c r="AN472" s="24">
        <v>-4.2794938431127889</v>
      </c>
    </row>
    <row r="473" spans="11:40" ht="28.2" customHeight="1" x14ac:dyDescent="0.3">
      <c r="Y473" s="24">
        <v>73</v>
      </c>
      <c r="Z473" s="24">
        <v>95.711193128145055</v>
      </c>
      <c r="AA473" s="24">
        <v>-3.7111931281450552</v>
      </c>
      <c r="AB473" s="24"/>
      <c r="AC473" s="24"/>
      <c r="AD473" s="24"/>
      <c r="AE473" s="24"/>
      <c r="AL473" s="24">
        <v>68</v>
      </c>
      <c r="AM473" s="24">
        <v>133.58287422518788</v>
      </c>
      <c r="AN473" s="24">
        <v>5.9171257748121207</v>
      </c>
    </row>
    <row r="474" spans="11:40" ht="28.2" customHeight="1" x14ac:dyDescent="0.3">
      <c r="Y474" s="24">
        <v>74</v>
      </c>
      <c r="Z474" s="24">
        <v>93.613947316798985</v>
      </c>
      <c r="AA474" s="24">
        <v>-0.61394731679898484</v>
      </c>
      <c r="AB474" s="24"/>
      <c r="AC474" s="24"/>
      <c r="AD474" s="24"/>
      <c r="AE474" s="24"/>
      <c r="AL474" s="24">
        <v>69</v>
      </c>
      <c r="AM474" s="24">
        <v>128.64566447492638</v>
      </c>
      <c r="AN474" s="24">
        <v>-0.14566447492637735</v>
      </c>
    </row>
    <row r="475" spans="11:40" ht="28.2" customHeight="1" x14ac:dyDescent="0.3">
      <c r="Y475" s="24">
        <v>75</v>
      </c>
      <c r="Z475" s="24">
        <v>93.576807002630815</v>
      </c>
      <c r="AA475" s="24">
        <v>-4.5768070026308152</v>
      </c>
      <c r="AB475" s="24"/>
      <c r="AC475" s="24"/>
      <c r="AD475" s="24"/>
      <c r="AE475" s="24"/>
      <c r="AL475" s="24">
        <v>70</v>
      </c>
      <c r="AM475" s="24">
        <v>127.21761580683811</v>
      </c>
      <c r="AN475" s="24">
        <v>4.7823841931618887</v>
      </c>
    </row>
    <row r="476" spans="11:40" ht="28.2" customHeight="1" x14ac:dyDescent="0.3">
      <c r="Y476" s="24">
        <v>76</v>
      </c>
      <c r="Z476" s="24">
        <v>95.487233944130878</v>
      </c>
      <c r="AA476" s="24">
        <v>-0.48723394413087817</v>
      </c>
      <c r="AB476" s="24"/>
      <c r="AC476" s="24"/>
      <c r="AD476" s="24"/>
      <c r="AE476" s="24"/>
      <c r="AL476" s="24">
        <v>71</v>
      </c>
      <c r="AM476" s="24">
        <v>135.98892632763892</v>
      </c>
      <c r="AN476" s="24">
        <v>-2.4889263276389215</v>
      </c>
    </row>
    <row r="477" spans="11:40" ht="28.2" customHeight="1" x14ac:dyDescent="0.3">
      <c r="Y477" s="24">
        <v>77</v>
      </c>
      <c r="Z477" s="24">
        <v>92.394298102219423</v>
      </c>
      <c r="AA477" s="24">
        <v>0.60570189778057681</v>
      </c>
      <c r="AB477" s="24"/>
      <c r="AC477" s="24"/>
      <c r="AD477" s="24"/>
      <c r="AE477" s="24"/>
      <c r="AL477" s="24">
        <v>72</v>
      </c>
      <c r="AM477" s="24">
        <v>133.58287422518788</v>
      </c>
      <c r="AN477" s="24">
        <v>5.4171257748121207</v>
      </c>
    </row>
    <row r="478" spans="11:40" ht="28.2" customHeight="1" x14ac:dyDescent="0.3">
      <c r="Y478" s="24">
        <v>78</v>
      </c>
      <c r="Z478" s="24">
        <v>97.926532373290001</v>
      </c>
      <c r="AA478" s="24">
        <v>-2.9265323732900015</v>
      </c>
      <c r="AB478" s="24"/>
      <c r="AC478" s="24"/>
      <c r="AD478" s="24"/>
      <c r="AE478" s="24"/>
      <c r="AL478" s="24">
        <v>73</v>
      </c>
      <c r="AM478" s="24">
        <v>129.9673896382107</v>
      </c>
      <c r="AN478" s="24">
        <v>-6.9673896382107046</v>
      </c>
    </row>
    <row r="479" spans="11:40" ht="28.2" customHeight="1" x14ac:dyDescent="0.3">
      <c r="Y479" s="24">
        <v>79</v>
      </c>
      <c r="Z479" s="24">
        <v>93.937929908303857</v>
      </c>
      <c r="AA479" s="24">
        <v>-0.43792990830385747</v>
      </c>
      <c r="AB479" s="24"/>
      <c r="AC479" s="24"/>
      <c r="AD479" s="24"/>
      <c r="AE479" s="24"/>
      <c r="AL479" s="24">
        <v>74</v>
      </c>
      <c r="AM479" s="24">
        <v>134.2217477801471</v>
      </c>
      <c r="AN479" s="24">
        <v>-2.2217477801470977</v>
      </c>
    </row>
    <row r="480" spans="11:40" ht="28.2" customHeight="1" x14ac:dyDescent="0.3">
      <c r="Y480" s="24">
        <v>80</v>
      </c>
      <c r="Z480" s="24">
        <v>94.796456217210391</v>
      </c>
      <c r="AA480" s="24">
        <v>-0.79645621721039106</v>
      </c>
      <c r="AB480" s="24"/>
      <c r="AC480" s="24"/>
      <c r="AD480" s="24"/>
      <c r="AE480" s="24"/>
      <c r="AL480" s="24">
        <v>75</v>
      </c>
      <c r="AM480" s="24">
        <v>127.90505926468127</v>
      </c>
      <c r="AN480" s="24">
        <v>1.5949407353187297</v>
      </c>
    </row>
    <row r="481" spans="25:40" ht="28.2" customHeight="1" x14ac:dyDescent="0.3">
      <c r="Y481" s="24">
        <v>81</v>
      </c>
      <c r="Z481" s="24">
        <v>92.743023211326857</v>
      </c>
      <c r="AA481" s="24">
        <v>0.25697678867314266</v>
      </c>
      <c r="AB481" s="24"/>
      <c r="AC481" s="24"/>
      <c r="AD481" s="24"/>
      <c r="AE481" s="24"/>
      <c r="AL481" s="24">
        <v>76</v>
      </c>
      <c r="AM481" s="24">
        <v>134.6140394119526</v>
      </c>
      <c r="AN481" s="24">
        <v>-0.11403941195260359</v>
      </c>
    </row>
    <row r="482" spans="25:40" ht="28.2" customHeight="1" x14ac:dyDescent="0.3">
      <c r="Y482" s="24">
        <v>82</v>
      </c>
      <c r="Z482" s="24">
        <v>91.747333180761473</v>
      </c>
      <c r="AA482" s="24">
        <v>0.2526668192385273</v>
      </c>
      <c r="AB482" s="24"/>
      <c r="AC482" s="24"/>
      <c r="AD482" s="24"/>
      <c r="AE482" s="24"/>
      <c r="AL482" s="24">
        <v>77</v>
      </c>
      <c r="AM482" s="24">
        <v>127.34731320171556</v>
      </c>
      <c r="AN482" s="24">
        <v>3.6526867982844351</v>
      </c>
    </row>
    <row r="483" spans="25:40" ht="28.2" customHeight="1" x14ac:dyDescent="0.3">
      <c r="Y483" s="24">
        <v>83</v>
      </c>
      <c r="Z483" s="24">
        <v>93.962672425906419</v>
      </c>
      <c r="AA483" s="24">
        <v>5.537327574093581</v>
      </c>
      <c r="AB483" s="24"/>
      <c r="AC483" s="24"/>
      <c r="AD483" s="24"/>
      <c r="AE483" s="24"/>
      <c r="AL483" s="24">
        <v>78</v>
      </c>
      <c r="AM483" s="24">
        <v>134.9577611408742</v>
      </c>
      <c r="AN483" s="24">
        <v>4.5422388591258027</v>
      </c>
    </row>
    <row r="484" spans="25:40" ht="28.2" customHeight="1" x14ac:dyDescent="0.3">
      <c r="Y484" s="24">
        <v>84</v>
      </c>
      <c r="Z484" s="24">
        <v>90.832596269826794</v>
      </c>
      <c r="AA484" s="24">
        <v>2.6674037301732056</v>
      </c>
      <c r="AB484" s="24"/>
      <c r="AC484" s="24"/>
      <c r="AD484" s="24"/>
      <c r="AE484" s="24"/>
      <c r="AL484" s="24">
        <v>79</v>
      </c>
      <c r="AM484" s="24">
        <v>137.58242942688736</v>
      </c>
      <c r="AN484" s="24">
        <v>-3.0824294268873587</v>
      </c>
    </row>
    <row r="485" spans="25:40" ht="28.2" customHeight="1" x14ac:dyDescent="0.3">
      <c r="Y485" s="24">
        <v>85</v>
      </c>
      <c r="Z485" s="24">
        <v>98.231444676934899</v>
      </c>
      <c r="AA485" s="24">
        <v>2.768555323065101</v>
      </c>
      <c r="AB485" s="24"/>
      <c r="AC485" s="24"/>
      <c r="AD485" s="24"/>
      <c r="AE485" s="24"/>
      <c r="AL485" s="24">
        <v>80</v>
      </c>
      <c r="AM485" s="24">
        <v>130.65483309605389</v>
      </c>
      <c r="AN485" s="24">
        <v>0.84516690394610805</v>
      </c>
    </row>
    <row r="486" spans="25:40" ht="28.2" customHeight="1" x14ac:dyDescent="0.3">
      <c r="Y486" s="24">
        <v>86</v>
      </c>
      <c r="Z486" s="24">
        <v>92.743023211326857</v>
      </c>
      <c r="AA486" s="24">
        <v>4.7569767886731427</v>
      </c>
      <c r="AB486" s="24"/>
      <c r="AC486" s="24"/>
      <c r="AD486" s="24"/>
      <c r="AE486" s="24"/>
      <c r="AL486" s="24">
        <v>81</v>
      </c>
      <c r="AM486" s="24">
        <v>131.52054385165843</v>
      </c>
      <c r="AN486" s="24">
        <v>6.9794561483415691</v>
      </c>
    </row>
    <row r="487" spans="25:40" ht="28.2" customHeight="1" x14ac:dyDescent="0.3">
      <c r="Y487" s="24">
        <v>87</v>
      </c>
      <c r="Z487" s="24">
        <v>90.913549389457501</v>
      </c>
      <c r="AA487" s="24">
        <v>2.5864506105424994</v>
      </c>
      <c r="AB487" s="24"/>
      <c r="AC487" s="24"/>
      <c r="AD487" s="24"/>
      <c r="AE487" s="24"/>
      <c r="AL487" s="24">
        <v>82</v>
      </c>
      <c r="AM487" s="24">
        <v>132.02972001174018</v>
      </c>
      <c r="AN487" s="24">
        <v>0.97027998825981854</v>
      </c>
    </row>
    <row r="488" spans="25:40" ht="28.2" customHeight="1" x14ac:dyDescent="0.3">
      <c r="Y488" s="24">
        <v>88</v>
      </c>
      <c r="Z488" s="24">
        <v>97.011795462355337</v>
      </c>
      <c r="AA488" s="24">
        <v>-3.5117954623553373</v>
      </c>
      <c r="AB488" s="24"/>
      <c r="AC488" s="24"/>
      <c r="AD488" s="24"/>
      <c r="AE488" s="24"/>
      <c r="AL488" s="24">
        <v>83</v>
      </c>
      <c r="AM488" s="24">
        <v>134.27031768303104</v>
      </c>
      <c r="AN488" s="24">
        <v>-3.2703176830310383</v>
      </c>
    </row>
    <row r="489" spans="25:40" ht="28.2" customHeight="1" x14ac:dyDescent="0.3">
      <c r="Y489" s="24">
        <v>89</v>
      </c>
      <c r="Z489" s="24">
        <v>94.491543913565494</v>
      </c>
      <c r="AA489" s="24">
        <v>-0.99154391356549354</v>
      </c>
      <c r="AB489" s="24"/>
      <c r="AC489" s="24"/>
      <c r="AD489" s="24"/>
      <c r="AE489" s="24"/>
      <c r="AL489" s="24">
        <v>84</v>
      </c>
      <c r="AM489" s="24">
        <v>131.34227655389702</v>
      </c>
      <c r="AN489" s="24">
        <v>3.1577234461029775</v>
      </c>
    </row>
    <row r="490" spans="25:40" ht="28.2" customHeight="1" x14ac:dyDescent="0.3">
      <c r="Y490" s="24">
        <v>90</v>
      </c>
      <c r="Z490" s="24">
        <v>89.998812478522836</v>
      </c>
      <c r="AA490" s="24">
        <v>0.5011875214771635</v>
      </c>
      <c r="AB490" s="24"/>
      <c r="AC490" s="24"/>
      <c r="AD490" s="24"/>
      <c r="AE490" s="24"/>
      <c r="AL490" s="24">
        <v>85</v>
      </c>
      <c r="AM490" s="24">
        <v>137.02009151440365</v>
      </c>
      <c r="AN490" s="24">
        <v>-5.0200915144036458</v>
      </c>
    </row>
    <row r="491" spans="25:40" ht="28.2" customHeight="1" x14ac:dyDescent="0.3">
      <c r="Y491" s="24">
        <v>91</v>
      </c>
      <c r="Z491" s="24">
        <v>90.259911976705197</v>
      </c>
      <c r="AA491" s="24">
        <v>1.7400880232948026</v>
      </c>
      <c r="AB491" s="24"/>
      <c r="AC491" s="24"/>
      <c r="AD491" s="24"/>
      <c r="AE491" s="24"/>
      <c r="AL491" s="24">
        <v>86</v>
      </c>
      <c r="AM491" s="24">
        <v>132.89543076734472</v>
      </c>
      <c r="AN491" s="24">
        <v>-5.8954307673447204</v>
      </c>
    </row>
    <row r="492" spans="25:40" ht="28.2" customHeight="1" x14ac:dyDescent="0.3">
      <c r="Y492" s="24">
        <v>92</v>
      </c>
      <c r="Z492" s="24">
        <v>94.5724970331962</v>
      </c>
      <c r="AA492" s="24">
        <v>-5.0724970331961998</v>
      </c>
      <c r="AL492" s="24">
        <v>87</v>
      </c>
      <c r="AM492" s="24">
        <v>132.89543076734472</v>
      </c>
      <c r="AN492" s="24">
        <v>0.60456923265527962</v>
      </c>
    </row>
    <row r="493" spans="25:40" ht="28.2" customHeight="1" x14ac:dyDescent="0.3">
      <c r="Y493" s="24">
        <v>93</v>
      </c>
      <c r="Z493" s="24">
        <v>92.108456086434515</v>
      </c>
      <c r="AA493" s="24">
        <v>-4.608456086434515</v>
      </c>
      <c r="AL493" s="24">
        <v>88</v>
      </c>
      <c r="AM493" s="24">
        <v>134.6140394119526</v>
      </c>
      <c r="AN493" s="24">
        <v>4.8859605880473964</v>
      </c>
    </row>
    <row r="494" spans="25:40" ht="28.2" customHeight="1" x14ac:dyDescent="0.3">
      <c r="Y494" s="24">
        <v>94</v>
      </c>
      <c r="Z494" s="24">
        <v>90.303724782167734</v>
      </c>
      <c r="AA494" s="24">
        <v>-2.803724782167734</v>
      </c>
      <c r="AL494" s="24">
        <v>89</v>
      </c>
      <c r="AM494" s="24">
        <v>132.71716346958334</v>
      </c>
      <c r="AN494" s="24">
        <v>-0.71716346958334043</v>
      </c>
    </row>
    <row r="495" spans="25:40" ht="28.2" customHeight="1" x14ac:dyDescent="0.3">
      <c r="Y495" s="24">
        <v>95</v>
      </c>
      <c r="Z495" s="24">
        <v>89.974069960920275</v>
      </c>
      <c r="AA495" s="24">
        <v>-1.474069960920275</v>
      </c>
      <c r="AL495" s="24">
        <v>90</v>
      </c>
      <c r="AM495" s="24">
        <v>129.80193520705055</v>
      </c>
      <c r="AN495" s="24">
        <v>-1.3019352070505477</v>
      </c>
    </row>
    <row r="496" spans="25:40" ht="28.2" customHeight="1" x14ac:dyDescent="0.3">
      <c r="Y496" s="24">
        <v>96</v>
      </c>
      <c r="Z496" s="24">
        <v>96.70688315871044</v>
      </c>
      <c r="AA496" s="24">
        <v>-1.2068831587104398</v>
      </c>
      <c r="AL496" s="24">
        <v>91</v>
      </c>
      <c r="AM496" s="24">
        <v>127.69103493063713</v>
      </c>
      <c r="AN496" s="24">
        <v>3.3089650693628698</v>
      </c>
    </row>
    <row r="497" spans="25:40" ht="28.2" customHeight="1" x14ac:dyDescent="0.3">
      <c r="Y497" s="24">
        <v>97</v>
      </c>
      <c r="Z497" s="24">
        <v>93.047935514971741</v>
      </c>
      <c r="AA497" s="24">
        <v>3.4520644850282594</v>
      </c>
      <c r="AL497" s="24">
        <v>92</v>
      </c>
      <c r="AM497" s="24">
        <v>133.58287422518788</v>
      </c>
      <c r="AN497" s="24">
        <v>-3.5828742251878793</v>
      </c>
    </row>
    <row r="498" spans="25:40" ht="28.2" customHeight="1" x14ac:dyDescent="0.3">
      <c r="Y498" s="24">
        <v>98</v>
      </c>
      <c r="Z498" s="24">
        <v>89.974069960920275</v>
      </c>
      <c r="AA498" s="24">
        <v>2.525930039079725</v>
      </c>
      <c r="AL498" s="24">
        <v>93</v>
      </c>
      <c r="AM498" s="24">
        <v>132.42660349306371</v>
      </c>
      <c r="AN498" s="24">
        <v>-12.426603493063709</v>
      </c>
    </row>
    <row r="499" spans="25:40" ht="28.2" customHeight="1" x14ac:dyDescent="0.3">
      <c r="Y499" s="24">
        <v>99</v>
      </c>
      <c r="Z499" s="24">
        <v>93.047935514971741</v>
      </c>
      <c r="AA499" s="24">
        <v>1.4520644850282594</v>
      </c>
      <c r="AL499" s="24">
        <v>94</v>
      </c>
      <c r="AM499" s="24">
        <v>129.11449174920739</v>
      </c>
      <c r="AN499" s="24">
        <v>-4.1144917492073887</v>
      </c>
    </row>
    <row r="500" spans="25:40" ht="28.2" customHeight="1" x14ac:dyDescent="0.3">
      <c r="Y500" s="24">
        <v>100</v>
      </c>
      <c r="Z500" s="24">
        <v>87.820613547546074</v>
      </c>
      <c r="AA500" s="24">
        <v>5.1793864524539259</v>
      </c>
      <c r="AL500" s="24">
        <v>95</v>
      </c>
      <c r="AM500" s="24">
        <v>130.70799484845583</v>
      </c>
      <c r="AN500" s="24">
        <v>-0.20799484845582583</v>
      </c>
    </row>
    <row r="501" spans="25:40" ht="28.2" customHeight="1" x14ac:dyDescent="0.3">
      <c r="Y501" s="24">
        <v>101</v>
      </c>
      <c r="Z501" s="24">
        <v>92.43811090768196</v>
      </c>
      <c r="AA501" s="24">
        <v>-3.4381109076819598</v>
      </c>
      <c r="AL501" s="24">
        <v>96</v>
      </c>
      <c r="AM501" s="24">
        <v>136.67636978548208</v>
      </c>
      <c r="AN501" s="24">
        <v>-0.67636978548208049</v>
      </c>
    </row>
    <row r="502" spans="25:40" ht="28.2" customHeight="1" x14ac:dyDescent="0.3">
      <c r="Y502" s="24">
        <v>102</v>
      </c>
      <c r="Z502" s="24">
        <v>92.718280693724282</v>
      </c>
      <c r="AA502" s="24">
        <v>-2.2182806937242816</v>
      </c>
      <c r="AL502" s="24">
        <v>97</v>
      </c>
      <c r="AM502" s="24">
        <v>132.20798730950159</v>
      </c>
      <c r="AN502" s="24">
        <v>0.29201269049841017</v>
      </c>
    </row>
    <row r="503" spans="25:40" ht="28.2" customHeight="1" x14ac:dyDescent="0.3">
      <c r="Y503" s="24">
        <v>103</v>
      </c>
      <c r="Z503" s="24">
        <v>89.388987871233041</v>
      </c>
      <c r="AA503" s="24">
        <v>2.6110121287669585</v>
      </c>
      <c r="AL503" s="24">
        <v>98</v>
      </c>
      <c r="AM503" s="24">
        <v>132.42660349306371</v>
      </c>
      <c r="AN503" s="24">
        <v>-8.426603493063709</v>
      </c>
    </row>
    <row r="504" spans="25:40" ht="28.2" customHeight="1" x14ac:dyDescent="0.3">
      <c r="Y504" s="24">
        <v>104</v>
      </c>
      <c r="Z504" s="24">
        <v>92.43811090768196</v>
      </c>
      <c r="AA504" s="24">
        <v>-0.43811090768195982</v>
      </c>
      <c r="AL504" s="24">
        <v>99</v>
      </c>
      <c r="AM504" s="24">
        <v>133.92659595410947</v>
      </c>
      <c r="AN504" s="24">
        <v>-5.926595954109473</v>
      </c>
    </row>
    <row r="505" spans="25:40" ht="28.2" customHeight="1" x14ac:dyDescent="0.3">
      <c r="Y505" s="24">
        <v>105</v>
      </c>
      <c r="Z505" s="24">
        <v>92.133198604037062</v>
      </c>
      <c r="AA505" s="24">
        <v>-1.1331986040370623</v>
      </c>
      <c r="AL505" s="24">
        <v>100</v>
      </c>
      <c r="AM505" s="24">
        <v>124.94126109926452</v>
      </c>
      <c r="AN505" s="24">
        <v>-0.94126109926452273</v>
      </c>
    </row>
    <row r="506" spans="25:40" ht="28.2" customHeight="1" x14ac:dyDescent="0.3">
      <c r="Y506" s="24">
        <v>106</v>
      </c>
      <c r="Z506" s="24">
        <v>93.004122709509218</v>
      </c>
      <c r="AA506" s="24">
        <v>-5.0041227095092182</v>
      </c>
      <c r="AL506" s="24">
        <v>101</v>
      </c>
      <c r="AM506" s="24">
        <v>133.58287422518788</v>
      </c>
      <c r="AN506" s="24">
        <v>-2.0828742251878793</v>
      </c>
    </row>
    <row r="507" spans="25:40" ht="28.2" customHeight="1" x14ac:dyDescent="0.3">
      <c r="Y507" s="24">
        <v>107</v>
      </c>
      <c r="Z507" s="24">
        <v>93.657760122261521</v>
      </c>
      <c r="AA507" s="24">
        <v>-1.6577601222615215</v>
      </c>
      <c r="AL507" s="24">
        <v>102</v>
      </c>
      <c r="AM507" s="24">
        <v>126.92705583031848</v>
      </c>
      <c r="AN507" s="24">
        <v>2.5729441696815201</v>
      </c>
    </row>
    <row r="508" spans="25:40" ht="28.2" customHeight="1" x14ac:dyDescent="0.3">
      <c r="Y508" s="24">
        <v>108</v>
      </c>
      <c r="Z508" s="24">
        <v>93.047935514971741</v>
      </c>
      <c r="AA508" s="24">
        <v>0.95206448502825936</v>
      </c>
      <c r="AL508" s="24">
        <v>103</v>
      </c>
      <c r="AM508" s="24">
        <v>132.89543076734472</v>
      </c>
      <c r="AN508" s="24">
        <v>-0.89543076734472038</v>
      </c>
    </row>
    <row r="509" spans="25:40" ht="28.2" customHeight="1" x14ac:dyDescent="0.3">
      <c r="Y509" s="24">
        <v>109</v>
      </c>
      <c r="Z509" s="24">
        <v>91.828286300392179</v>
      </c>
      <c r="AA509" s="24">
        <v>1.171713699607821</v>
      </c>
      <c r="AL509" s="24">
        <v>104</v>
      </c>
      <c r="AM509" s="24">
        <v>128.08332656244266</v>
      </c>
      <c r="AN509" s="24">
        <v>7.9166734375573355</v>
      </c>
    </row>
    <row r="510" spans="25:40" ht="28.2" customHeight="1" x14ac:dyDescent="0.3">
      <c r="Y510" s="24">
        <v>110</v>
      </c>
      <c r="Z510" s="24">
        <v>89.998812478522836</v>
      </c>
      <c r="AA510" s="24">
        <v>1.1875214771635001E-3</v>
      </c>
      <c r="AL510" s="24">
        <v>105</v>
      </c>
      <c r="AM510" s="24">
        <v>129.80193520705055</v>
      </c>
      <c r="AN510" s="24">
        <v>-5.3019352070505477</v>
      </c>
    </row>
    <row r="511" spans="25:40" ht="28.2" customHeight="1" x14ac:dyDescent="0.3">
      <c r="Y511" s="24">
        <v>111</v>
      </c>
      <c r="Z511" s="24">
        <v>89.059333049985597</v>
      </c>
      <c r="AA511" s="24">
        <v>-5.0593330499855966</v>
      </c>
      <c r="AL511" s="24">
        <v>106</v>
      </c>
      <c r="AM511" s="24">
        <v>128.72220011740188</v>
      </c>
      <c r="AN511" s="24">
        <v>-8.2222001174018828</v>
      </c>
    </row>
    <row r="512" spans="25:40" ht="28.2" customHeight="1" x14ac:dyDescent="0.3">
      <c r="Y512" s="24">
        <v>112</v>
      </c>
      <c r="Z512" s="24">
        <v>93.352847818616638</v>
      </c>
      <c r="AA512" s="24">
        <v>-1.3528478186166382</v>
      </c>
      <c r="AL512" s="24">
        <v>107</v>
      </c>
      <c r="AM512" s="24">
        <v>130.48937866489371</v>
      </c>
      <c r="AN512" s="24">
        <v>-0.98937866489370663</v>
      </c>
    </row>
    <row r="513" spans="25:40" ht="28.2" customHeight="1" x14ac:dyDescent="0.3">
      <c r="Y513" s="24">
        <v>113</v>
      </c>
      <c r="Z513" s="24">
        <v>90.608637085812617</v>
      </c>
      <c r="AA513" s="24">
        <v>-5.1086370858126173</v>
      </c>
      <c r="AL513" s="24">
        <v>108</v>
      </c>
      <c r="AM513" s="24">
        <v>132.55170903842316</v>
      </c>
      <c r="AN513" s="24">
        <v>0.94829096157684489</v>
      </c>
    </row>
    <row r="514" spans="25:40" ht="28.2" customHeight="1" x14ac:dyDescent="0.3">
      <c r="Y514" s="24">
        <v>114</v>
      </c>
      <c r="Z514" s="24">
        <v>88.779163263943275</v>
      </c>
      <c r="AA514" s="24">
        <v>0.22083673605672516</v>
      </c>
      <c r="AL514" s="24">
        <v>109</v>
      </c>
      <c r="AM514" s="24">
        <v>129.80193520705055</v>
      </c>
      <c r="AN514" s="24">
        <v>-2.3019352070505477</v>
      </c>
    </row>
    <row r="515" spans="25:40" ht="28.2" customHeight="1" x14ac:dyDescent="0.3">
      <c r="Y515" s="24">
        <v>115</v>
      </c>
      <c r="Z515" s="24">
        <v>93.047935514971741</v>
      </c>
      <c r="AA515" s="24">
        <v>-4.7935514971740645E-2</v>
      </c>
      <c r="AL515" s="24">
        <v>110</v>
      </c>
      <c r="AM515" s="24">
        <v>130.14565693597211</v>
      </c>
      <c r="AN515" s="24">
        <v>-7.1456569359721129</v>
      </c>
    </row>
    <row r="516" spans="25:40" ht="28.2" customHeight="1" x14ac:dyDescent="0.3">
      <c r="Y516" s="24">
        <v>116</v>
      </c>
      <c r="Z516" s="24">
        <v>90.303724782167734</v>
      </c>
      <c r="AA516" s="24">
        <v>-1.803724782167734</v>
      </c>
      <c r="AL516" s="24">
        <v>111</v>
      </c>
      <c r="AM516" s="24">
        <v>128.98938620384794</v>
      </c>
      <c r="AN516" s="24">
        <v>-4.9893862038479426</v>
      </c>
    </row>
    <row r="517" spans="25:40" ht="28.2" customHeight="1" x14ac:dyDescent="0.3">
      <c r="Y517" s="24">
        <v>117</v>
      </c>
      <c r="Z517" s="24">
        <v>89.917859358892116</v>
      </c>
      <c r="AA517" s="24">
        <v>3.082140641107884</v>
      </c>
      <c r="AL517" s="24">
        <v>112</v>
      </c>
      <c r="AM517" s="24">
        <v>127.7396048335211</v>
      </c>
      <c r="AN517" s="24">
        <v>-3.7396048335210992</v>
      </c>
    </row>
    <row r="518" spans="25:40" ht="28.2" customHeight="1" x14ac:dyDescent="0.3">
      <c r="Y518" s="24">
        <v>118</v>
      </c>
      <c r="Z518" s="24">
        <v>87.229859228116254</v>
      </c>
      <c r="AA518" s="24">
        <v>-4.2298592281162541</v>
      </c>
      <c r="AL518" s="24">
        <v>113</v>
      </c>
      <c r="AM518" s="24">
        <v>127.39588310459951</v>
      </c>
      <c r="AN518" s="24">
        <v>-6.8958831045995055</v>
      </c>
    </row>
    <row r="519" spans="25:40" ht="28.2" customHeight="1" x14ac:dyDescent="0.3">
      <c r="Y519" s="24">
        <v>119</v>
      </c>
      <c r="Z519" s="24">
        <v>91.218461693102398</v>
      </c>
      <c r="AA519" s="24">
        <v>-2.2184616931023982</v>
      </c>
      <c r="AL519" s="24">
        <v>114</v>
      </c>
      <c r="AM519" s="24">
        <v>124.98983100214846</v>
      </c>
      <c r="AN519" s="24">
        <v>2.0101689978515367</v>
      </c>
    </row>
    <row r="520" spans="25:40" ht="28.2" customHeight="1" thickBot="1" x14ac:dyDescent="0.35">
      <c r="Y520" s="26">
        <v>120</v>
      </c>
      <c r="Z520" s="26">
        <v>90.913549389457501</v>
      </c>
      <c r="AA520" s="26">
        <v>-0.91354938945750064</v>
      </c>
      <c r="AL520" s="24">
        <v>115</v>
      </c>
      <c r="AM520" s="24">
        <v>132.89543076734472</v>
      </c>
      <c r="AN520" s="24">
        <v>-3.8954307673447204</v>
      </c>
    </row>
    <row r="521" spans="25:40" ht="28.2" customHeight="1" x14ac:dyDescent="0.3">
      <c r="AL521" s="24">
        <v>116</v>
      </c>
      <c r="AM521" s="24">
        <v>128.77077002028582</v>
      </c>
      <c r="AN521" s="24">
        <v>-0.27077002028582342</v>
      </c>
    </row>
    <row r="522" spans="25:40" ht="28.2" customHeight="1" x14ac:dyDescent="0.3">
      <c r="AL522" s="24">
        <v>117</v>
      </c>
      <c r="AM522" s="24">
        <v>128.59250272252442</v>
      </c>
      <c r="AN522" s="24">
        <v>-0.59250272252441505</v>
      </c>
    </row>
    <row r="523" spans="25:40" ht="28.2" customHeight="1" x14ac:dyDescent="0.3">
      <c r="AL523" s="24">
        <v>118</v>
      </c>
      <c r="AM523" s="24">
        <v>121.77122989649483</v>
      </c>
      <c r="AN523" s="24">
        <v>6.7287701035051697</v>
      </c>
    </row>
    <row r="524" spans="25:40" ht="28.2" customHeight="1" x14ac:dyDescent="0.3">
      <c r="AL524" s="24">
        <v>119</v>
      </c>
      <c r="AM524" s="24">
        <v>126.70843964675635</v>
      </c>
      <c r="AN524" s="24">
        <v>6.7915603532436535</v>
      </c>
    </row>
    <row r="525" spans="25:40" ht="28.2" customHeight="1" thickBot="1" x14ac:dyDescent="0.35">
      <c r="AL525" s="26">
        <v>120</v>
      </c>
      <c r="AM525" s="26">
        <v>133.58287422518788</v>
      </c>
      <c r="AN525" s="26">
        <v>-7.0828742251878793</v>
      </c>
    </row>
  </sheetData>
  <sortState xmlns:xlrd2="http://schemas.microsoft.com/office/spreadsheetml/2017/richdata2" ref="X222:X341">
    <sortCondition ref="X222"/>
  </sortState>
  <mergeCells count="4">
    <mergeCell ref="K19:R19"/>
    <mergeCell ref="K27:R27"/>
    <mergeCell ref="K35:R35"/>
    <mergeCell ref="K43:R43"/>
  </mergeCells>
  <conditionalFormatting sqref="S346:S465">
    <cfRule type="dataBar" priority="3">
      <dataBar>
        <cfvo type="min"/>
        <cfvo type="max"/>
        <color rgb="FF638EC6"/>
      </dataBar>
      <extLst>
        <ext xmlns:x14="http://schemas.microsoft.com/office/spreadsheetml/2009/9/main" uri="{B025F937-C7B1-47D3-B67F-A62EFF666E3E}">
          <x14:id>{F300EB33-712B-4172-AD33-9F7F4D360237}</x14:id>
        </ext>
      </extLst>
    </cfRule>
  </conditionalFormatting>
  <conditionalFormatting sqref="T346:T465">
    <cfRule type="dataBar" priority="2">
      <dataBar>
        <cfvo type="min"/>
        <cfvo type="max"/>
        <color rgb="FF63C384"/>
      </dataBar>
      <extLst>
        <ext xmlns:x14="http://schemas.microsoft.com/office/spreadsheetml/2009/9/main" uri="{B025F937-C7B1-47D3-B67F-A62EFF666E3E}">
          <x14:id>{830AD3F9-9100-4343-8A4E-8E06DDAEBBDB}</x14:id>
        </ext>
      </extLst>
    </cfRule>
  </conditionalFormatting>
  <conditionalFormatting sqref="U346:U465">
    <cfRule type="dataBar" priority="1">
      <dataBar>
        <cfvo type="min"/>
        <cfvo type="max"/>
        <color rgb="FFFFB628"/>
      </dataBar>
      <extLst>
        <ext xmlns:x14="http://schemas.microsoft.com/office/spreadsheetml/2009/9/main" uri="{B025F937-C7B1-47D3-B67F-A62EFF666E3E}">
          <x14:id>{7D15342C-56A9-43DC-8EE6-F44F35E39BC5}</x14:id>
        </ext>
      </extLst>
    </cfRule>
  </conditionalFormatting>
  <pageMargins left="0.7" right="0.7" top="0.75" bottom="0.75" header="0.3" footer="0.3"/>
  <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dataBar" id="{F300EB33-712B-4172-AD33-9F7F4D360237}">
            <x14:dataBar minLength="0" maxLength="100" gradient="0">
              <x14:cfvo type="autoMin"/>
              <x14:cfvo type="autoMax"/>
              <x14:negativeFillColor rgb="FFFF0000"/>
              <x14:axisColor rgb="FF000000"/>
            </x14:dataBar>
          </x14:cfRule>
          <xm:sqref>S346:S465</xm:sqref>
        </x14:conditionalFormatting>
        <x14:conditionalFormatting xmlns:xm="http://schemas.microsoft.com/office/excel/2006/main">
          <x14:cfRule type="dataBar" id="{830AD3F9-9100-4343-8A4E-8E06DDAEBBDB}">
            <x14:dataBar minLength="0" maxLength="100" gradient="0">
              <x14:cfvo type="autoMin"/>
              <x14:cfvo type="autoMax"/>
              <x14:negativeFillColor rgb="FFFF0000"/>
              <x14:axisColor rgb="FF000000"/>
            </x14:dataBar>
          </x14:cfRule>
          <xm:sqref>T346:T465</xm:sqref>
        </x14:conditionalFormatting>
        <x14:conditionalFormatting xmlns:xm="http://schemas.microsoft.com/office/excel/2006/main">
          <x14:cfRule type="dataBar" id="{7D15342C-56A9-43DC-8EE6-F44F35E39BC5}">
            <x14:dataBar minLength="0" maxLength="100" gradient="0">
              <x14:cfvo type="autoMin"/>
              <x14:cfvo type="autoMax"/>
              <x14:negativeFillColor rgb="FFFF0000"/>
              <x14:axisColor rgb="FF000000"/>
            </x14:dataBar>
          </x14:cfRule>
          <xm:sqref>U346:U465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38EAD2-6382-41F8-A03D-24EFE10202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ANOVA</vt:lpstr>
      <vt:lpstr>ANCOVA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ADELBERT OBLEA</dc:creator>
  <cp:lastModifiedBy>MATTHEW ADELBERT OBLEA</cp:lastModifiedBy>
  <dcterms:created xsi:type="dcterms:W3CDTF">2025-10-19T09:38:07Z</dcterms:created>
  <dcterms:modified xsi:type="dcterms:W3CDTF">2025-10-21T06:24:59Z</dcterms:modified>
</cp:coreProperties>
</file>